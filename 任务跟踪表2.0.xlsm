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sigs" ContentType="application/vnd.openxmlformats-package.digital-signature-origin"/>
  <Override PartName="/xl/workbook.xml" ContentType="application/vnd.ms-excel.sheet.macroEnabled.main+xml"/>
  <Override PartName="/xl/theme/theme1.xml" ContentType="application/vnd.openxmlformats-officedocument.theme+xml"/>
  <Override PartName="/xl/vbaProject.bin" ContentType="application/vnd.ms-office.vbaProject"/>
  <Override PartName="/xl/charts/chart2.xml" ContentType="application/vnd.openxmlformats-officedocument.drawingml.chart+xml"/>
  <Override PartName="/xl/worksheets/sheet1.xml" ContentType="application/vnd.openxmlformats-officedocument.spreadsheetml.worksheet+xml"/>
  <Override PartName="/xl/charts/colors1.xml" ContentType="application/vnd.ms-office.chartcolorstyle+xml"/>
  <Override PartName="/xl/charts/style1.xml" ContentType="application/vnd.ms-office.chartstyle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8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docProps/app.xml" ContentType="application/vnd.openxmlformats-officedocument.extended-properties+xml"/>
  <Override PartName="/xl/ctrlProps/ctrlProp1.xml" ContentType="application/vnd.ms-excel.controlproperties+xml"/>
  <Override PartName="/docProps/core.xml" ContentType="application/vnd.openxmlformats-package.core-properties+xml"/>
  <Override PartName="/xl/ctrlProps/ctrlProp4.xml" ContentType="application/vnd.ms-excel.controlproperties+xml"/>
  <Override PartName="/xl/ctrlProps/ctrlProp7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_xmlsignatures/sig1.xml" ContentType="application/vnd.openxmlformats-package.digital-signature-xmlsigna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package/2006/relationships/digital-signature/origin" Target="_xmlsignatures/origin.sig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.SP\Desktop\"/>
    </mc:Choice>
  </mc:AlternateContent>
  <bookViews>
    <workbookView xWindow="0" yWindow="0" windowWidth="23895" windowHeight="10350" tabRatio="253"/>
  </bookViews>
  <sheets>
    <sheet name="任务跟踪" sheetId="1" r:id="rId1"/>
    <sheet name="甘特图" sheetId="2" r:id="rId2"/>
    <sheet name="设置" sheetId="3" r:id="rId3"/>
  </sheets>
  <functionGroups builtInGroupCount="18"/>
  <definedNames>
    <definedName name="_xlnm._FilterDatabase" localSheetId="0" hidden="1">任务跟踪!$A$2:$R$11</definedName>
  </definedNames>
  <calcPr calcId="162913"/>
</workbook>
</file>

<file path=xl/calcChain.xml><?xml version="1.0" encoding="utf-8"?>
<calcChain xmlns="http://schemas.openxmlformats.org/spreadsheetml/2006/main">
  <c r="R11" i="1" l="1"/>
  <c r="E11" i="1" s="1"/>
  <c r="M11" i="1"/>
  <c r="J11" i="1"/>
  <c r="F11" i="1"/>
  <c r="C11" i="1"/>
  <c r="P11" i="1" s="1"/>
  <c r="R10" i="1"/>
  <c r="E10" i="1" s="1"/>
  <c r="M10" i="1"/>
  <c r="J10" i="1"/>
  <c r="F10" i="1"/>
  <c r="C10" i="1"/>
  <c r="P10" i="1" s="1"/>
  <c r="R9" i="1"/>
  <c r="E9" i="1" s="1"/>
  <c r="M9" i="1"/>
  <c r="J9" i="1"/>
  <c r="F9" i="1"/>
  <c r="C9" i="1"/>
  <c r="P9" i="1" s="1"/>
  <c r="R8" i="1"/>
  <c r="E8" i="1" s="1"/>
  <c r="M8" i="1"/>
  <c r="J8" i="1"/>
  <c r="F8" i="1"/>
  <c r="C8" i="1"/>
  <c r="P8" i="1" s="1"/>
  <c r="R7" i="1"/>
  <c r="E7" i="1" s="1"/>
  <c r="M7" i="1"/>
  <c r="J7" i="1"/>
  <c r="F7" i="1"/>
  <c r="C7" i="1"/>
  <c r="P7" i="1" s="1"/>
  <c r="R6" i="1"/>
  <c r="E6" i="1" s="1"/>
  <c r="M6" i="1"/>
  <c r="J6" i="1"/>
  <c r="F6" i="1"/>
  <c r="C6" i="1"/>
  <c r="P6" i="1" s="1"/>
  <c r="R5" i="1"/>
  <c r="E5" i="1" s="1"/>
  <c r="M5" i="1"/>
  <c r="J5" i="1"/>
  <c r="F5" i="1"/>
  <c r="C5" i="1"/>
  <c r="P5" i="1" s="1"/>
  <c r="R4" i="1"/>
  <c r="E4" i="1" s="1"/>
  <c r="M4" i="1"/>
  <c r="J4" i="1"/>
  <c r="F4" i="1"/>
  <c r="C4" i="1"/>
  <c r="P4" i="1" s="1"/>
  <c r="R3" i="1"/>
  <c r="E3" i="1" s="1"/>
  <c r="M3" i="1"/>
  <c r="J3" i="1"/>
  <c r="F3" i="1"/>
  <c r="C3" i="1"/>
  <c r="P3" i="1" s="1"/>
</calcChain>
</file>

<file path=xl/comments1.xml><?xml version="1.0" encoding="utf-8"?>
<comments xmlns="http://schemas.openxmlformats.org/spreadsheetml/2006/main">
  <authors>
    <author>Xiaoyu</author>
  </authors>
  <commentList>
    <comment ref="B2" authorId="0" shapeId="0">
      <text>
        <r>
          <rPr>
            <sz val="9"/>
            <rFont val="宋体"/>
            <family val="3"/>
            <charset val="134"/>
          </rPr>
          <t>Xiaoyu:
必填，刷新任务状态必须。</t>
        </r>
      </text>
    </comment>
    <comment ref="C2" authorId="0" shapeId="0">
      <text>
        <r>
          <rPr>
            <sz val="9"/>
            <rFont val="宋体"/>
            <family val="3"/>
            <charset val="134"/>
          </rPr>
          <t>Xiaoyu:
手动可选</t>
        </r>
      </text>
    </comment>
    <comment ref="D2" authorId="0" shapeId="0">
      <text>
        <r>
          <rPr>
            <sz val="9"/>
            <rFont val="宋体"/>
            <family val="3"/>
            <charset val="134"/>
          </rPr>
          <t>Xiaoyu:
自动计算，排除周末双休以及法定节假日</t>
        </r>
      </text>
    </comment>
    <comment ref="E2" authorId="0" shapeId="0">
      <text>
        <r>
          <rPr>
            <sz val="9"/>
            <rFont val="宋体"/>
            <family val="3"/>
            <charset val="134"/>
          </rPr>
          <t>Xiaoyu:
自动填充</t>
        </r>
      </text>
    </comment>
    <comment ref="F2" authorId="0" shapeId="0">
      <text>
        <r>
          <rPr>
            <sz val="9"/>
            <rFont val="宋体"/>
            <family val="3"/>
            <charset val="134"/>
          </rPr>
          <t>Xiaoyu:
自动填充</t>
        </r>
      </text>
    </comment>
    <comment ref="G2" authorId="0" shapeId="0">
      <text>
        <r>
          <rPr>
            <sz val="9"/>
            <rFont val="宋体"/>
            <family val="3"/>
            <charset val="134"/>
          </rPr>
          <t>Xiaoyu:系统性的模块化任务填写，无法划分模块就不填</t>
        </r>
      </text>
    </comment>
    <comment ref="H2" authorId="0" shapeId="0">
      <text>
        <r>
          <rPr>
            <sz val="9"/>
            <rFont val="宋体"/>
            <family val="3"/>
            <charset val="134"/>
          </rPr>
          <t xml:space="preserve">Xiaoyu:
手动必填，甲方需求描述。
</t>
        </r>
      </text>
    </comment>
    <comment ref="I2" authorId="0" shapeId="0">
      <text>
        <r>
          <rPr>
            <sz val="9"/>
            <rFont val="宋体"/>
            <family val="3"/>
            <charset val="134"/>
          </rPr>
          <t>Xiaoyu:
必填，刷新任务状态必须。</t>
        </r>
      </text>
    </comment>
    <comment ref="M2" authorId="0" shapeId="0">
      <text>
        <r>
          <rPr>
            <sz val="9"/>
            <rFont val="宋体"/>
            <family val="3"/>
            <charset val="134"/>
          </rPr>
          <t>Xiaoyu:
自动生成</t>
        </r>
      </text>
    </comment>
    <comment ref="P2" authorId="0" shapeId="0">
      <text>
        <r>
          <rPr>
            <sz val="9"/>
            <rFont val="宋体"/>
            <family val="3"/>
            <charset val="134"/>
          </rPr>
          <t>Xiaoyu:
不排除周末，甘特图用</t>
        </r>
      </text>
    </comment>
  </commentList>
</comments>
</file>

<file path=xl/sharedStrings.xml><?xml version="1.0" encoding="utf-8"?>
<sst xmlns="http://schemas.openxmlformats.org/spreadsheetml/2006/main" count="128" uniqueCount="114">
  <si>
    <r>
      <rPr>
        <b/>
        <sz val="10"/>
        <rFont val="宋体"/>
        <family val="3"/>
        <charset val="134"/>
      </rPr>
      <t>V1</t>
    </r>
    <r>
      <rPr>
        <b/>
        <sz val="10"/>
        <rFont val="宋体"/>
        <family val="3"/>
        <charset val="134"/>
      </rPr>
      <t>70207</t>
    </r>
  </si>
  <si>
    <t>\</t>
  </si>
  <si>
    <t>今日</t>
  </si>
  <si>
    <t>#</t>
  </si>
  <si>
    <t>开始日期*</t>
  </si>
  <si>
    <t>完成日期</t>
  </si>
  <si>
    <t>工作量（人日）</t>
  </si>
  <si>
    <t>任务人</t>
  </si>
  <si>
    <t>平台</t>
  </si>
  <si>
    <t>功能模块</t>
  </si>
  <si>
    <t>任务详情</t>
  </si>
  <si>
    <t>任务描述文件*</t>
  </si>
  <si>
    <t>内容+J2:K17</t>
  </si>
  <si>
    <t>状态</t>
  </si>
  <si>
    <t>加班工作量（小时</t>
  </si>
  <si>
    <t>加班</t>
  </si>
  <si>
    <t>保留</t>
  </si>
  <si>
    <t>备注</t>
  </si>
  <si>
    <t>甘特图历时</t>
  </si>
  <si>
    <t>#PathDate#</t>
  </si>
  <si>
    <t>#NameAbbr#</t>
  </si>
  <si>
    <t>*)APP底层</t>
  </si>
  <si>
    <t>and0510fh.tasks</t>
  </si>
  <si>
    <t>and0526xzy_.tasks</t>
  </si>
  <si>
    <t>①)即时聊天_2_2</t>
  </si>
  <si>
    <t>群组管理列表界面多选删除、创建群组布局；</t>
  </si>
  <si>
    <t>and1215cr_即时聊天_2_2.tasks</t>
  </si>
  <si>
    <t>企业群管理——企业群列表查看、编辑删除和我的界面添加群管理图标及跳转；</t>
  </si>
  <si>
    <t>ios1215jkl_即时聊天_2_2.tasks</t>
  </si>
  <si>
    <t>黑 白名单界面搭建。逻辑设计。 数据处理。与其他界面的跳转搭建；</t>
  </si>
  <si>
    <t>ios1215wks_即时聊天_2_2.tasks</t>
  </si>
  <si>
    <t>创建聊天、企业群；</t>
  </si>
  <si>
    <t>ios1215ysc_即时聊天_2_2.tasks</t>
  </si>
  <si>
    <t>1、优化添加黑白名单列表界面，添加默认企业，；2、修改我的企业客户列表bug；</t>
  </si>
  <si>
    <t>ios1215xl_即时聊天_2_2.tasks</t>
  </si>
  <si>
    <t>群组管理群组列表、选择部分接口调试；</t>
  </si>
  <si>
    <t>选择部门页面 增加选择企业,修改部门选择显示bug,解决提交审核后显示文件错误问题,增加群管理权限,导航按钮字号修改；</t>
  </si>
  <si>
    <t>ios1215lrq_即时聊天_2_2.tasks</t>
  </si>
  <si>
    <t>法定假日</t>
  </si>
  <si>
    <t>元旦</t>
  </si>
  <si>
    <t>春节</t>
  </si>
  <si>
    <t>清明</t>
  </si>
  <si>
    <t>劳动节</t>
  </si>
  <si>
    <t>端午</t>
  </si>
  <si>
    <t>中秋</t>
  </si>
  <si>
    <t>国庆</t>
  </si>
  <si>
    <t>识别顺序依次降低，离职人员不得删除</t>
  </si>
  <si>
    <t>缩写</t>
  </si>
  <si>
    <t>lf</t>
  </si>
  <si>
    <t>ysc</t>
  </si>
  <si>
    <t>fh</t>
  </si>
  <si>
    <t>ys</t>
  </si>
  <si>
    <t>lrq</t>
  </si>
  <si>
    <t>zxq</t>
  </si>
  <si>
    <t>cy</t>
  </si>
  <si>
    <t>zh</t>
  </si>
  <si>
    <t>sk</t>
  </si>
  <si>
    <t>hl</t>
  </si>
  <si>
    <t>pqy</t>
  </si>
  <si>
    <t>hwb</t>
  </si>
  <si>
    <t>lj</t>
  </si>
  <si>
    <t>ccg</t>
  </si>
  <si>
    <t>plz</t>
  </si>
  <si>
    <t>lqh</t>
  </si>
  <si>
    <t>cr</t>
  </si>
  <si>
    <t>姓名</t>
  </si>
  <si>
    <t>平台缩写</t>
  </si>
  <si>
    <t>ios</t>
  </si>
  <si>
    <t>and</t>
  </si>
  <si>
    <t>web</t>
  </si>
  <si>
    <t>svr</t>
  </si>
  <si>
    <t>tst</t>
  </si>
  <si>
    <t>uid</t>
  </si>
  <si>
    <t>mdl</t>
  </si>
  <si>
    <t>类型名称</t>
  </si>
  <si>
    <t>IOS</t>
  </si>
  <si>
    <t>安卓</t>
  </si>
  <si>
    <t>网页端</t>
  </si>
  <si>
    <t>服务端</t>
  </si>
  <si>
    <t>测试</t>
  </si>
  <si>
    <t>UI设计</t>
  </si>
  <si>
    <t>[模块]</t>
  </si>
  <si>
    <t>#滞后!</t>
    <phoneticPr fontId="20" type="noConversion"/>
  </si>
  <si>
    <t>·</t>
    <phoneticPr fontId="20" type="noConversion"/>
  </si>
  <si>
    <t>#滞后!</t>
    <phoneticPr fontId="20" type="noConversion"/>
  </si>
  <si>
    <t>#滞后!</t>
    <phoneticPr fontId="20" type="noConversion"/>
  </si>
  <si>
    <t>项目任务跟踪表</t>
    <phoneticPr fontId="20" type="noConversion"/>
  </si>
  <si>
    <t>小飞</t>
    <phoneticPr fontId="20" type="noConversion"/>
  </si>
  <si>
    <t>小春</t>
    <phoneticPr fontId="20" type="noConversion"/>
  </si>
  <si>
    <t>小盛</t>
    <phoneticPr fontId="20" type="noConversion"/>
  </si>
  <si>
    <t>小强</t>
    <phoneticPr fontId="20" type="noConversion"/>
  </si>
  <si>
    <t>小奇</t>
    <phoneticPr fontId="20" type="noConversion"/>
  </si>
  <si>
    <t>小辉</t>
    <phoneticPr fontId="20" type="noConversion"/>
  </si>
  <si>
    <t>小阳</t>
    <phoneticPr fontId="20" type="noConversion"/>
  </si>
  <si>
    <t>小浩</t>
    <phoneticPr fontId="20" type="noConversion"/>
  </si>
  <si>
    <t>小奎</t>
    <phoneticPr fontId="20" type="noConversion"/>
  </si>
  <si>
    <t>小龙</t>
    <phoneticPr fontId="20" type="noConversion"/>
  </si>
  <si>
    <t>小宇</t>
    <phoneticPr fontId="20" type="noConversion"/>
  </si>
  <si>
    <t>小斌</t>
    <phoneticPr fontId="20" type="noConversion"/>
  </si>
  <si>
    <t>小进</t>
    <phoneticPr fontId="20" type="noConversion"/>
  </si>
  <si>
    <t>小刚</t>
    <phoneticPr fontId="20" type="noConversion"/>
  </si>
  <si>
    <t>小志</t>
    <phoneticPr fontId="20" type="noConversion"/>
  </si>
  <si>
    <t>小权</t>
    <phoneticPr fontId="20" type="noConversion"/>
  </si>
  <si>
    <t>小健</t>
    <phoneticPr fontId="20" type="noConversion"/>
  </si>
  <si>
    <t>小川</t>
    <phoneticPr fontId="20" type="noConversion"/>
  </si>
  <si>
    <t>小瑞</t>
    <phoneticPr fontId="20" type="noConversion"/>
  </si>
  <si>
    <t>jkl</t>
    <phoneticPr fontId="20" type="noConversion"/>
  </si>
  <si>
    <t>小磊</t>
    <phoneticPr fontId="20" type="noConversion"/>
  </si>
  <si>
    <t>xzy</t>
    <phoneticPr fontId="20" type="noConversion"/>
  </si>
  <si>
    <t>小振</t>
    <phoneticPr fontId="20" type="noConversion"/>
  </si>
  <si>
    <t>xl</t>
    <phoneticPr fontId="20" type="noConversion"/>
  </si>
  <si>
    <t>wks</t>
    <phoneticPr fontId="20" type="noConversion"/>
  </si>
  <si>
    <t>框架搭建；</t>
    <phoneticPr fontId="20" type="noConversion"/>
  </si>
  <si>
    <t>版本相关代码；搭建开发环境和熟悉1；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</si>
</sst>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b/>
      <sz val="10"/>
      <color rgb="FFC0000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0"/>
      <color theme="3"/>
      <name val="宋体"/>
      <family val="3"/>
      <charset val="134"/>
      <scheme val="minor"/>
    </font>
    <font>
      <sz val="10"/>
      <color theme="3"/>
      <name val="宋体"/>
      <family val="3"/>
      <charset val="134"/>
      <scheme val="minor"/>
    </font>
    <font>
      <b/>
      <sz val="20"/>
      <color theme="1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sz val="10"/>
      <color theme="0" tint="-0.249977111117893"/>
      <name val="宋体"/>
      <family val="3"/>
      <charset val="134"/>
      <scheme val="minor"/>
    </font>
    <font>
      <sz val="8"/>
      <color theme="0" tint="-0.249977111117893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0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4" tint="0.39976195562608724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0" fontId="16" fillId="0" borderId="3" applyNumberFormat="0" applyFill="0" applyAlignment="0" applyProtection="0">
      <alignment vertical="center"/>
    </xf>
  </cellStyleXfs>
  <cellXfs count="40">
    <xf numFmtId="0" fontId="0" fillId="0" borderId="0" xfId="0"/>
    <xf numFmtId="14" fontId="0" fillId="0" borderId="0" xfId="0" applyNumberFormat="1"/>
    <xf numFmtId="0" fontId="0" fillId="0" borderId="1" xfId="0" applyFont="1" applyBorder="1"/>
    <xf numFmtId="0" fontId="0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>
      <alignment horizontal="center"/>
    </xf>
    <xf numFmtId="0" fontId="3" fillId="0" borderId="0" xfId="0" applyNumberFormat="1" applyFont="1" applyAlignment="1" applyProtection="1">
      <alignment horizontal="left"/>
      <protection locked="0"/>
    </xf>
    <xf numFmtId="49" fontId="3" fillId="0" borderId="0" xfId="0" applyNumberFormat="1" applyFont="1" applyAlignment="1" applyProtection="1">
      <alignment horizontal="left"/>
      <protection locked="0"/>
    </xf>
    <xf numFmtId="0" fontId="3" fillId="0" borderId="0" xfId="0" applyNumberFormat="1" applyFont="1" applyAlignment="1">
      <alignment horizontal="center" wrapText="1"/>
    </xf>
    <xf numFmtId="49" fontId="4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Font="1"/>
    <xf numFmtId="0" fontId="5" fillId="0" borderId="0" xfId="0" applyNumberFormat="1" applyFont="1" applyAlignment="1" applyProtection="1">
      <alignment horizontal="left" wrapText="1"/>
      <protection locked="0"/>
    </xf>
    <xf numFmtId="14" fontId="6" fillId="0" borderId="0" xfId="0" applyNumberFormat="1" applyFont="1" applyAlignment="1" applyProtection="1">
      <protection locked="0"/>
    </xf>
    <xf numFmtId="0" fontId="8" fillId="0" borderId="0" xfId="2" applyFont="1" applyBorder="1" applyAlignment="1" applyProtection="1">
      <alignment horizontal="center" wrapText="1"/>
      <protection locked="0"/>
    </xf>
    <xf numFmtId="14" fontId="8" fillId="0" borderId="0" xfId="2" applyNumberFormat="1" applyFont="1" applyBorder="1" applyAlignment="1" applyProtection="1">
      <alignment horizontal="center" wrapText="1"/>
      <protection locked="0"/>
    </xf>
    <xf numFmtId="0" fontId="8" fillId="0" borderId="0" xfId="2" applyNumberFormat="1" applyFont="1" applyBorder="1" applyAlignment="1">
      <alignment horizontal="center" wrapText="1"/>
    </xf>
    <xf numFmtId="0" fontId="9" fillId="0" borderId="0" xfId="2" applyNumberFormat="1" applyFont="1" applyBorder="1" applyAlignment="1" applyProtection="1">
      <alignment horizontal="center" wrapText="1"/>
      <protection locked="0"/>
    </xf>
    <xf numFmtId="49" fontId="8" fillId="0" borderId="0" xfId="2" applyNumberFormat="1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NumberFormat="1" applyFont="1" applyAlignment="1">
      <alignment horizontal="center"/>
    </xf>
    <xf numFmtId="14" fontId="10" fillId="0" borderId="0" xfId="0" applyNumberFormat="1" applyFont="1" applyAlignment="1" applyProtection="1">
      <alignment vertical="center"/>
      <protection locked="0"/>
    </xf>
    <xf numFmtId="14" fontId="3" fillId="0" borderId="0" xfId="0" applyNumberFormat="1" applyFont="1"/>
    <xf numFmtId="49" fontId="11" fillId="0" borderId="0" xfId="0" applyNumberFormat="1" applyFont="1" applyAlignment="1">
      <alignment horizontal="center"/>
    </xf>
    <xf numFmtId="0" fontId="12" fillId="0" borderId="0" xfId="0" applyNumberFormat="1" applyFont="1" applyAlignment="1">
      <alignment horizontal="center"/>
    </xf>
    <xf numFmtId="0" fontId="13" fillId="0" borderId="0" xfId="0" applyNumberFormat="1" applyFont="1" applyAlignment="1">
      <alignment horizontal="center"/>
    </xf>
    <xf numFmtId="14" fontId="13" fillId="0" borderId="0" xfId="0" applyNumberFormat="1" applyFont="1"/>
    <xf numFmtId="49" fontId="11" fillId="0" borderId="0" xfId="2" applyNumberFormat="1" applyFont="1" applyBorder="1" applyAlignment="1">
      <alignment horizontal="center" wrapText="1"/>
    </xf>
    <xf numFmtId="49" fontId="8" fillId="0" borderId="0" xfId="2" applyNumberFormat="1" applyFont="1" applyBorder="1" applyAlignment="1">
      <alignment horizontal="center" wrapText="1"/>
    </xf>
    <xf numFmtId="0" fontId="14" fillId="0" borderId="0" xfId="1" applyNumberFormat="1" applyAlignment="1">
      <alignment horizontal="center" wrapText="1"/>
    </xf>
    <xf numFmtId="49" fontId="2" fillId="0" borderId="0" xfId="0" applyNumberFormat="1" applyFont="1" applyAlignment="1">
      <alignment horizontal="center"/>
    </xf>
    <xf numFmtId="14" fontId="5" fillId="0" borderId="0" xfId="0" applyNumberFormat="1" applyFont="1"/>
    <xf numFmtId="0" fontId="15" fillId="0" borderId="0" xfId="0" applyFont="1" applyAlignment="1">
      <alignment horizontal="right"/>
    </xf>
    <xf numFmtId="0" fontId="1" fillId="0" borderId="2" xfId="0" applyFont="1" applyBorder="1"/>
    <xf numFmtId="0" fontId="17" fillId="0" borderId="0" xfId="0" applyFont="1"/>
    <xf numFmtId="14" fontId="7" fillId="0" borderId="0" xfId="0" applyNumberFormat="1" applyFont="1" applyAlignment="1" applyProtection="1">
      <alignment horizontal="center" vertical="center"/>
      <protection locked="0"/>
    </xf>
    <xf numFmtId="14" fontId="7" fillId="0" borderId="0" xfId="0" applyNumberFormat="1" applyFont="1" applyAlignment="1" applyProtection="1">
      <alignment horizontal="left" vertical="center"/>
      <protection locked="0"/>
    </xf>
  </cellXfs>
  <cellStyles count="3">
    <cellStyle name="标题 3" xfId="2" builtinId="18"/>
    <cellStyle name="常规" xfId="0" builtinId="0"/>
    <cellStyle name="超链接" xfId="1" builtinId="8"/>
  </cellStyles>
  <dxfs count="9">
    <dxf>
      <font>
        <b val="0"/>
        <i val="0"/>
        <color rgb="FF00B050"/>
      </font>
    </dxf>
    <dxf>
      <font>
        <b val="0"/>
        <i val="0"/>
        <color theme="9" tint="-0.24994659260841701"/>
      </font>
    </dxf>
    <dxf>
      <font>
        <b val="0"/>
        <i val="0"/>
        <color theme="8" tint="-0.24994659260841701"/>
      </font>
    </dxf>
    <dxf>
      <font>
        <b/>
        <i val="0"/>
        <color rgb="FFFF0000"/>
      </font>
    </dxf>
    <dxf>
      <font>
        <color theme="0" tint="-0.24994659260841701"/>
      </font>
    </dxf>
    <dxf>
      <font>
        <b val="0"/>
        <i val="0"/>
        <color theme="0" tint="-0.14975432599871821"/>
      </font>
    </dxf>
    <dxf>
      <font>
        <b val="0"/>
        <i val="0"/>
        <color theme="4" tint="-0.24994659260841701"/>
      </font>
    </dxf>
    <dxf>
      <font>
        <b/>
        <i val="0"/>
        <color theme="9" tint="-0.24994659260841701"/>
      </font>
      <fill>
        <patternFill patternType="none"/>
      </fill>
    </dxf>
    <dxf>
      <font>
        <b val="0"/>
        <i val="0"/>
        <color theme="5" tint="-0.24994659260841701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任务跟踪!$B$2</c:f>
              <c:strCache>
                <c:ptCount val="1"/>
                <c:pt idx="0">
                  <c:v>开始日期*</c:v>
                </c:pt>
              </c:strCache>
            </c:strRef>
          </c:tx>
          <c:spPr>
            <a:solidFill>
              <a:srgbClr val="FFFFFF"/>
            </a:solidFill>
            <a:ln w="3175" cap="flat" cmpd="sng" algn="ctr">
              <a:solidFill>
                <a:srgbClr val="FFFFFF"/>
              </a:solidFill>
              <a:prstDash val="solid"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任务跟踪!$A$3:$A$11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任务跟踪!$B$3:$B$11</c:f>
              <c:numCache>
                <c:formatCode>m/d/yyyy</c:formatCode>
                <c:ptCount val="9"/>
                <c:pt idx="0">
                  <c:v>42507</c:v>
                </c:pt>
                <c:pt idx="1">
                  <c:v>42514</c:v>
                </c:pt>
                <c:pt idx="2">
                  <c:v>42716</c:v>
                </c:pt>
                <c:pt idx="3">
                  <c:v>42716</c:v>
                </c:pt>
                <c:pt idx="4">
                  <c:v>42716</c:v>
                </c:pt>
                <c:pt idx="5">
                  <c:v>42716</c:v>
                </c:pt>
                <c:pt idx="6">
                  <c:v>42716</c:v>
                </c:pt>
                <c:pt idx="7">
                  <c:v>42717</c:v>
                </c:pt>
                <c:pt idx="8">
                  <c:v>42717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41-4F3E-B158-5FB18C5F8BE7}"/>
            </c:ext>
          </c:extLst>
        </c:ser>
        <c:ser>
          <c:idx val="0"/>
          <c:order val="1"/>
          <c:tx>
            <c:strRef>
              <c:f>任务跟踪!$P$2</c:f>
              <c:strCache>
                <c:ptCount val="1"/>
                <c:pt idx="0">
                  <c:v>甘特图历时</c:v>
                </c:pt>
              </c:strCache>
            </c:strRef>
          </c:tx>
          <c:spPr>
            <a:solidFill>
              <a:srgbClr val="5E8AC6"/>
            </a:solidFill>
            <a:ln w="3175" cap="flat" cmpd="sng" algn="ctr">
              <a:solidFill>
                <a:srgbClr val="5E8AC6"/>
              </a:solidFill>
              <a:prstDash val="solid"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任务跟踪!$A$3:$A$11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任务跟踪!$P$3:$P$11</c:f>
              <c:numCache>
                <c:formatCode>@</c:formatCode>
                <c:ptCount val="9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41-4F3E-B158-5FB18C5F8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55520"/>
        <c:axId val="244519128"/>
      </c:barChart>
      <c:catAx>
        <c:axId val="35555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44519128"/>
        <c:crosses val="autoZero"/>
        <c:auto val="1"/>
        <c:lblAlgn val="ctr"/>
        <c:lblOffset val="100"/>
        <c:noMultiLvlLbl val="0"/>
      </c:catAx>
      <c:valAx>
        <c:axId val="244519128"/>
        <c:scaling>
          <c:orientation val="minMax"/>
          <c:max val="43076.625416666669"/>
          <c:min val="42976.625416666669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55552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spcFirstLastPara="0" vertOverflow="ellipsis" horzOverflow="overflow" vert="horz" wrap="square" anchor="ctr" anchorCtr="1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1"/>
          <c:order val="0"/>
          <c:tx>
            <c:strRef>
              <c:f>任务跟踪!$B$2</c:f>
              <c:strCache>
                <c:ptCount val="1"/>
                <c:pt idx="0">
                  <c:v>开始日期*</c:v>
                </c:pt>
              </c:strCache>
            </c:strRef>
          </c:tx>
          <c:spPr>
            <a:solidFill>
              <a:srgbClr val="FFFFFF"/>
            </a:solidFill>
            <a:ln w="3175">
              <a:solidFill>
                <a:srgbClr val="FFFFFF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任务跟踪!$A$3:$A$11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任务跟踪!$B$3:$B$11</c:f>
              <c:numCache>
                <c:formatCode>m/d/yyyy</c:formatCode>
                <c:ptCount val="9"/>
                <c:pt idx="0">
                  <c:v>42507</c:v>
                </c:pt>
                <c:pt idx="1">
                  <c:v>42514</c:v>
                </c:pt>
                <c:pt idx="2">
                  <c:v>42716</c:v>
                </c:pt>
                <c:pt idx="3">
                  <c:v>42716</c:v>
                </c:pt>
                <c:pt idx="4">
                  <c:v>42716</c:v>
                </c:pt>
                <c:pt idx="5">
                  <c:v>42716</c:v>
                </c:pt>
                <c:pt idx="6">
                  <c:v>42716</c:v>
                </c:pt>
                <c:pt idx="7">
                  <c:v>42717</c:v>
                </c:pt>
                <c:pt idx="8">
                  <c:v>42717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41-4059-865F-C228BA63F875}"/>
            </c:ext>
          </c:extLst>
        </c:ser>
        <c:ser>
          <c:idx val="0"/>
          <c:order val="1"/>
          <c:tx>
            <c:strRef>
              <c:f>任务跟踪!$P$2</c:f>
              <c:strCache>
                <c:ptCount val="1"/>
                <c:pt idx="0">
                  <c:v>甘特图历时</c:v>
                </c:pt>
              </c:strCache>
            </c:strRef>
          </c:tx>
          <c:spPr>
            <a:solidFill>
              <a:srgbClr val="5E8AC6"/>
            </a:solidFill>
            <a:ln>
              <a:solidFill>
                <a:srgbClr val="5E8AC6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任务跟踪!$A$3:$A$11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任务跟踪!$P$3:$P$11</c:f>
              <c:numCache>
                <c:formatCode>@</c:formatCode>
                <c:ptCount val="9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41-4059-865F-C228BA63F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856912"/>
        <c:axId val="279849672"/>
      </c:barChart>
      <c:catAx>
        <c:axId val="27985691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9849672"/>
        <c:crosses val="autoZero"/>
        <c:auto val="1"/>
        <c:lblAlgn val="ctr"/>
        <c:lblOffset val="100"/>
        <c:noMultiLvlLbl val="0"/>
      </c:catAx>
      <c:valAx>
        <c:axId val="279849672"/>
        <c:scaling>
          <c:orientation val="minMax"/>
          <c:max val="42368"/>
          <c:min val="4225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horzOverflow="overflow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7985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 rot="0" spcFirstLastPara="0" vertOverflow="ellipsis" horzOverflow="overflow" vert="horz" wrap="square" anchor="ctr" anchorCtr="1"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25400</xdr:colOff>
      <xdr:row>1</xdr:row>
      <xdr:rowOff>12700</xdr:rowOff>
    </xdr:from>
    <xdr:to>
      <xdr:col>36</xdr:col>
      <xdr:colOff>301625</xdr:colOff>
      <xdr:row>11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676275</xdr:colOff>
      <xdr:row>0</xdr:row>
      <xdr:rowOff>152400</xdr:rowOff>
    </xdr:from>
    <xdr:to>
      <xdr:col>20</xdr:col>
      <xdr:colOff>133350</xdr:colOff>
      <xdr:row>0</xdr:row>
      <xdr:rowOff>495300</xdr:rowOff>
    </xdr:to>
    <xdr:sp macro="" textlink="">
      <xdr:nvSpPr>
        <xdr:cNvPr id="2" name="下箭头 1"/>
        <xdr:cNvSpPr/>
      </xdr:nvSpPr>
      <xdr:spPr>
        <a:xfrm>
          <a:off x="20288250" y="152400"/>
          <a:ext cx="257175" cy="342900"/>
        </a:xfrm>
        <a:prstGeom prst="downArrow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11</xdr:col>
          <xdr:colOff>0</xdr:colOff>
          <xdr:row>0</xdr:row>
          <xdr:rowOff>295275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刷新状态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0</xdr:row>
          <xdr:rowOff>0</xdr:rowOff>
        </xdr:from>
        <xdr:to>
          <xdr:col>2</xdr:col>
          <xdr:colOff>466725</xdr:colOff>
          <xdr:row>0</xdr:row>
          <xdr:rowOff>295275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1工作日&gt;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762000</xdr:colOff>
          <xdr:row>0</xdr:row>
          <xdr:rowOff>295275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&lt;1工作日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657225</xdr:colOff>
          <xdr:row>0</xdr:row>
          <xdr:rowOff>0</xdr:rowOff>
        </xdr:from>
        <xdr:to>
          <xdr:col>22</xdr:col>
          <xdr:colOff>447675</xdr:colOff>
          <xdr:row>0</xdr:row>
          <xdr:rowOff>276225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移动时间跨度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0</xdr:row>
          <xdr:rowOff>295275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刷新所选行状态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28575</xdr:rowOff>
        </xdr:from>
        <xdr:to>
          <xdr:col>4</xdr:col>
          <xdr:colOff>371475</xdr:colOff>
          <xdr:row>0</xdr:row>
          <xdr:rowOff>314325</xdr:rowOff>
        </xdr:to>
        <xdr:sp macro="" textlink="">
          <xdr:nvSpPr>
            <xdr:cNvPr id="1044" name="Button 20" descr="清理未分配任务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整理列表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333375</xdr:rowOff>
        </xdr:from>
        <xdr:to>
          <xdr:col>8</xdr:col>
          <xdr:colOff>1285875</xdr:colOff>
          <xdr:row>0</xdr:row>
          <xdr:rowOff>638175</xdr:rowOff>
        </xdr:to>
        <xdr:sp macro="" textlink="">
          <xdr:nvSpPr>
            <xdr:cNvPr id="1046" name="Button 22" descr="清理未分配任务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添加未登记任务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0</xdr:rowOff>
        </xdr:from>
        <xdr:to>
          <xdr:col>8</xdr:col>
          <xdr:colOff>1285875</xdr:colOff>
          <xdr:row>0</xdr:row>
          <xdr:rowOff>304800</xdr:rowOff>
        </xdr:to>
        <xdr:sp macro="" textlink="">
          <xdr:nvSpPr>
            <xdr:cNvPr id="1047" name="Button 23" descr="清理未分配任务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清理未分配任务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0</xdr:colOff>
      <xdr:row>205</xdr:row>
      <xdr:rowOff>28575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表1" displayName="表1" ref="B2:I9" totalsRowShown="0">
  <autoFilter ref="B2:I9"/>
  <tableColumns count="8">
    <tableColumn id="1" name="法定假日"/>
    <tableColumn id="2" name="元旦"/>
    <tableColumn id="3" name="春节"/>
    <tableColumn id="4" name="清明"/>
    <tableColumn id="5" name="劳动节"/>
    <tableColumn id="6" name="端午"/>
    <tableColumn id="7" name="中秋"/>
    <tableColumn id="8" name="国庆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表5" displayName="表5" ref="B12:W13" totalsRowShown="0">
  <autoFilter ref="B12:W13"/>
  <tableColumns count="22">
    <tableColumn id="1" name="缩写"/>
    <tableColumn id="2" name="lf"/>
    <tableColumn id="3" name="ysc"/>
    <tableColumn id="4" name="fh"/>
    <tableColumn id="5" name="ys"/>
    <tableColumn id="6" name="lrq"/>
    <tableColumn id="7" name="zxq"/>
    <tableColumn id="8" name="cy"/>
    <tableColumn id="9" name="zh"/>
    <tableColumn id="10" name="sk"/>
    <tableColumn id="11" name="hl"/>
    <tableColumn id="12" name="pqy"/>
    <tableColumn id="13" name="hwb"/>
    <tableColumn id="14" name="lj"/>
    <tableColumn id="15" name="ccg"/>
    <tableColumn id="16" name="plz"/>
    <tableColumn id="17" name="lqh"/>
    <tableColumn id="18" name="wks"/>
    <tableColumn id="19" name="xl"/>
    <tableColumn id="29" name="cr"/>
    <tableColumn id="30" name="jkl"/>
    <tableColumn id="32" name="xzy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5" name="表_6" displayName="表_6" ref="B16:I17" totalsRowShown="0">
  <autoFilter ref="B16:I17"/>
  <tableColumns count="8">
    <tableColumn id="1" name="平台缩写"/>
    <tableColumn id="2" name="ios"/>
    <tableColumn id="3" name="and"/>
    <tableColumn id="4" name="web"/>
    <tableColumn id="5" name="svr"/>
    <tableColumn id="6" name="tst"/>
    <tableColumn id="7" name="uid"/>
    <tableColumn id="8" name="md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/>
  </sheetPr>
  <dimension ref="A1:U11"/>
  <sheetViews>
    <sheetView tabSelected="1" workbookViewId="0">
      <pane xSplit="1" ySplit="2" topLeftCell="B3" activePane="bottomRight" state="frozen"/>
      <selection pane="topRight"/>
      <selection pane="bottomLeft"/>
      <selection pane="bottomRight" activeCell="G16" sqref="G16"/>
    </sheetView>
  </sheetViews>
  <sheetFormatPr defaultColWidth="8.875" defaultRowHeight="12" x14ac:dyDescent="0.15"/>
  <cols>
    <col min="1" max="1" width="6.125" style="6" customWidth="1"/>
    <col min="2" max="2" width="13.375" style="7" customWidth="1"/>
    <col min="3" max="3" width="10.625" style="7" customWidth="1"/>
    <col min="4" max="4" width="8.625" style="8" customWidth="1"/>
    <col min="5" max="5" width="10.625" style="8" customWidth="1"/>
    <col min="6" max="6" width="9" style="8" customWidth="1"/>
    <col min="7" max="7" width="21.375" style="9" customWidth="1"/>
    <col min="8" max="8" width="37.125" style="10" customWidth="1"/>
    <col min="9" max="9" width="35" style="10" customWidth="1"/>
    <col min="10" max="10" width="12.125" style="11" customWidth="1"/>
    <col min="11" max="11" width="14.125" style="12" customWidth="1"/>
    <col min="12" max="12" width="7.625" style="8" customWidth="1"/>
    <col min="13" max="13" width="7.125" style="8" customWidth="1"/>
    <col min="14" max="14" width="7.625" style="13" customWidth="1"/>
    <col min="15" max="15" width="8.125" style="13" customWidth="1"/>
    <col min="16" max="16" width="12" style="13" customWidth="1"/>
    <col min="17" max="17" width="10.625" style="14" customWidth="1"/>
    <col min="18" max="18" width="14.5" style="14" customWidth="1"/>
    <col min="19" max="19" width="11.625" style="14" customWidth="1"/>
    <col min="20" max="20" width="10.5" style="14" customWidth="1"/>
    <col min="21" max="16384" width="8.875" style="14"/>
  </cols>
  <sheetData>
    <row r="1" spans="1:21" ht="51.75" customHeight="1" x14ac:dyDescent="0.25">
      <c r="A1" s="15"/>
      <c r="B1" s="16" t="s">
        <v>83</v>
      </c>
      <c r="D1" s="38" t="s">
        <v>86</v>
      </c>
      <c r="E1" s="38"/>
      <c r="F1" s="38"/>
      <c r="G1" s="39"/>
      <c r="H1" s="38"/>
      <c r="I1" s="24"/>
      <c r="J1" s="25"/>
      <c r="K1" s="26" t="s">
        <v>0</v>
      </c>
      <c r="M1" s="27" t="s">
        <v>1</v>
      </c>
      <c r="N1" s="28"/>
      <c r="O1" s="28"/>
      <c r="P1" s="29"/>
      <c r="Q1" s="29"/>
      <c r="S1" s="34">
        <v>42976.625416666669</v>
      </c>
      <c r="T1" s="34">
        <v>43076.625416666669</v>
      </c>
      <c r="U1" s="35" t="s">
        <v>2</v>
      </c>
    </row>
    <row r="2" spans="1:21" ht="24" x14ac:dyDescent="0.15">
      <c r="A2" s="17" t="s">
        <v>3</v>
      </c>
      <c r="B2" s="18" t="s">
        <v>4</v>
      </c>
      <c r="C2" s="18" t="s">
        <v>5</v>
      </c>
      <c r="D2" s="19" t="s">
        <v>6</v>
      </c>
      <c r="E2" s="19" t="s">
        <v>7</v>
      </c>
      <c r="F2" s="19" t="s">
        <v>8</v>
      </c>
      <c r="G2" s="20" t="s">
        <v>9</v>
      </c>
      <c r="H2" s="21" t="s">
        <v>10</v>
      </c>
      <c r="I2" s="21" t="s">
        <v>11</v>
      </c>
      <c r="J2" s="19" t="s">
        <v>12</v>
      </c>
      <c r="K2" s="30" t="s">
        <v>13</v>
      </c>
      <c r="L2" s="19" t="s">
        <v>14</v>
      </c>
      <c r="M2" s="19" t="s">
        <v>15</v>
      </c>
      <c r="N2" s="31" t="s">
        <v>16</v>
      </c>
      <c r="O2" s="31" t="s">
        <v>17</v>
      </c>
      <c r="P2" s="19" t="s">
        <v>18</v>
      </c>
      <c r="Q2" s="19" t="s">
        <v>19</v>
      </c>
      <c r="R2" s="19" t="s">
        <v>20</v>
      </c>
      <c r="S2" s="19"/>
      <c r="T2" s="19"/>
    </row>
    <row r="3" spans="1:21" s="5" customFormat="1" ht="13.5" x14ac:dyDescent="0.15">
      <c r="A3" s="6">
        <v>1</v>
      </c>
      <c r="B3" s="7">
        <v>42507</v>
      </c>
      <c r="C3" s="7">
        <f>WORKDAY(B3,IF(D3&lt;1,D3,D3-1),表1[[元旦]:[国庆]])</f>
        <v>42509</v>
      </c>
      <c r="D3" s="8">
        <v>3</v>
      </c>
      <c r="E3" s="8" t="str">
        <f>HLOOKUP(R3,表5[#All],2,FALSE)</f>
        <v>小辉</v>
      </c>
      <c r="F3" s="8" t="str">
        <f>HLOOKUP(LOWER(LEFT(I3,3)),表_6[#All],2,)</f>
        <v>安卓</v>
      </c>
      <c r="G3" s="9" t="s">
        <v>21</v>
      </c>
      <c r="H3" s="10" t="s">
        <v>112</v>
      </c>
      <c r="I3" s="10" t="s">
        <v>22</v>
      </c>
      <c r="J3" s="32" t="str">
        <f>HYPERLINK("\\fs\Fileman\2) U上商侣2.0\160517\待审核\已审核\and0510fh.tasks","[查看]")</f>
        <v>[查看]</v>
      </c>
      <c r="K3" s="12" t="s">
        <v>82</v>
      </c>
      <c r="L3" s="8"/>
      <c r="M3" s="8" t="str">
        <f t="shared" ref="M3:M11" si="0">IF(ISERROR(FIND("_加班",I3)),"否","是")</f>
        <v>否</v>
      </c>
      <c r="N3" s="13"/>
      <c r="O3" s="13"/>
      <c r="P3" s="13">
        <f t="shared" ref="P3:P11" si="1">C3-B3+1</f>
        <v>3</v>
      </c>
      <c r="Q3" s="14"/>
      <c r="R3" s="14" t="str">
        <f t="shared" ref="R3:R11" si="2">IF(ISERROR(FIND("_",I3)),IF(ISERROR(FIND(".",I3)),"#err!",MID(I3,8,FIND(".",I3)-8)),MID(I3,8,FIND("_",I3)-8))</f>
        <v>fh</v>
      </c>
    </row>
    <row r="4" spans="1:21" s="5" customFormat="1" ht="13.5" x14ac:dyDescent="0.15">
      <c r="A4" s="6">
        <v>2</v>
      </c>
      <c r="B4" s="7">
        <v>42514</v>
      </c>
      <c r="C4" s="7">
        <f>WORKDAY(B4,IF(D4&lt;1,D4,D4-1),表1[[元旦]:[国庆]])</f>
        <v>42515</v>
      </c>
      <c r="D4" s="8">
        <v>2</v>
      </c>
      <c r="E4" s="8" t="str">
        <f>HLOOKUP(R4,表5[#All],2,FALSE)</f>
        <v>小振</v>
      </c>
      <c r="F4" s="8" t="str">
        <f>HLOOKUP(LOWER(LEFT(I4,3)),表_6[#All],2,)</f>
        <v>安卓</v>
      </c>
      <c r="G4" s="9" t="s">
        <v>21</v>
      </c>
      <c r="H4" s="10" t="s">
        <v>113</v>
      </c>
      <c r="I4" s="10" t="s">
        <v>23</v>
      </c>
      <c r="J4" s="32" t="str">
        <f>HYPERLINK("\\fs\Fileman\2) U上商侣2.0\160524\待审核\已审核\and0526xzy_.tasks","[查看]")</f>
        <v>[查看]</v>
      </c>
      <c r="K4" s="12" t="s">
        <v>82</v>
      </c>
      <c r="L4" s="8"/>
      <c r="M4" s="8" t="str">
        <f t="shared" si="0"/>
        <v>否</v>
      </c>
      <c r="N4" s="13"/>
      <c r="O4" s="13"/>
      <c r="P4" s="13">
        <f t="shared" si="1"/>
        <v>2</v>
      </c>
      <c r="Q4" s="14"/>
      <c r="R4" s="14" t="str">
        <f t="shared" si="2"/>
        <v>xzy</v>
      </c>
      <c r="S4" s="14"/>
      <c r="T4" s="14"/>
    </row>
    <row r="5" spans="1:21" s="5" customFormat="1" ht="13.5" x14ac:dyDescent="0.15">
      <c r="A5" s="22">
        <v>3</v>
      </c>
      <c r="B5" s="7">
        <v>42716</v>
      </c>
      <c r="C5" s="7">
        <f>WORKDAY(B5,IF(D5&lt;1,D5,D5-1),表1[[元旦]:[国庆]])</f>
        <v>42716</v>
      </c>
      <c r="D5" s="8">
        <v>1</v>
      </c>
      <c r="E5" s="23" t="str">
        <f>HLOOKUP(R5,表5[#All],2,FALSE)</f>
        <v>小瑞</v>
      </c>
      <c r="F5" s="23" t="str">
        <f>HLOOKUP(LOWER(LEFT(I5,3)),表_6[#All],2,)</f>
        <v>安卓</v>
      </c>
      <c r="G5" s="9" t="s">
        <v>24</v>
      </c>
      <c r="H5" s="10" t="s">
        <v>25</v>
      </c>
      <c r="I5" s="10" t="s">
        <v>26</v>
      </c>
      <c r="J5" s="32" t="str">
        <f>HYPERLINK("\\fs\Fileman\2) U上商侣2.0\161212\待审核\已审核\and1215cr_即时聊天_2_2.tasks","[查看]")</f>
        <v>[查看]</v>
      </c>
      <c r="K5" s="12" t="s">
        <v>82</v>
      </c>
      <c r="L5" s="8"/>
      <c r="M5" s="23" t="str">
        <f t="shared" si="0"/>
        <v>否</v>
      </c>
      <c r="N5" s="13"/>
      <c r="O5" s="13"/>
      <c r="P5" s="33">
        <f t="shared" si="1"/>
        <v>1</v>
      </c>
      <c r="R5" s="5" t="str">
        <f t="shared" si="2"/>
        <v>cr</v>
      </c>
      <c r="S5" s="14"/>
      <c r="T5" s="14"/>
    </row>
    <row r="6" spans="1:21" s="5" customFormat="1" ht="13.5" x14ac:dyDescent="0.15">
      <c r="A6" s="22">
        <v>4</v>
      </c>
      <c r="B6" s="7">
        <v>42716</v>
      </c>
      <c r="C6" s="7">
        <f>WORKDAY(B6,IF(D6&lt;1,D6,D6-1),表1[[元旦]:[国庆]])</f>
        <v>42720</v>
      </c>
      <c r="D6" s="8">
        <v>5</v>
      </c>
      <c r="E6" s="23" t="str">
        <f>HLOOKUP(R6,表5[#All],2,FALSE)</f>
        <v>小磊</v>
      </c>
      <c r="F6" s="23" t="str">
        <f>HLOOKUP(LOWER(LEFT(I6,3)),表_6[#All],2,)</f>
        <v>IOS</v>
      </c>
      <c r="G6" s="9" t="s">
        <v>24</v>
      </c>
      <c r="H6" s="10" t="s">
        <v>27</v>
      </c>
      <c r="I6" s="10" t="s">
        <v>28</v>
      </c>
      <c r="J6" s="32" t="str">
        <f>HYPERLINK("\\fs\Fileman\2) U上商侣2.0\161212\待审核\已审核\ios1215jkl_即时聊天_2_2.tasks","[查看]")</f>
        <v>[查看]</v>
      </c>
      <c r="K6" s="12" t="s">
        <v>85</v>
      </c>
      <c r="L6" s="8"/>
      <c r="M6" s="23" t="str">
        <f t="shared" si="0"/>
        <v>否</v>
      </c>
      <c r="N6" s="13"/>
      <c r="O6" s="13"/>
      <c r="P6" s="33">
        <f t="shared" si="1"/>
        <v>5</v>
      </c>
      <c r="R6" s="5" t="str">
        <f t="shared" si="2"/>
        <v>jkl</v>
      </c>
      <c r="S6" s="14"/>
      <c r="T6" s="14"/>
    </row>
    <row r="7" spans="1:21" s="5" customFormat="1" ht="13.5" x14ac:dyDescent="0.15">
      <c r="A7" s="22">
        <v>5</v>
      </c>
      <c r="B7" s="7">
        <v>42716</v>
      </c>
      <c r="C7" s="7">
        <f>WORKDAY(B7,IF(D7&lt;1,D7,D7-1),表1[[元旦]:[国庆]])</f>
        <v>42720</v>
      </c>
      <c r="D7" s="8">
        <v>5</v>
      </c>
      <c r="E7" s="23" t="str">
        <f>HLOOKUP(R7,表5[#All],2,FALSE)</f>
        <v>小健</v>
      </c>
      <c r="F7" s="23" t="str">
        <f>HLOOKUP(LOWER(LEFT(I7,3)),表_6[#All],2,)</f>
        <v>IOS</v>
      </c>
      <c r="G7" s="9" t="s">
        <v>24</v>
      </c>
      <c r="H7" s="10" t="s">
        <v>29</v>
      </c>
      <c r="I7" s="10" t="s">
        <v>30</v>
      </c>
      <c r="J7" s="32" t="str">
        <f>HYPERLINK("\\fs\Fileman\2) U上商侣2.0\161212\待审核\已审核\ios1215wks_即时聊天_2_2.tasks","[查看]")</f>
        <v>[查看]</v>
      </c>
      <c r="K7" s="12" t="s">
        <v>82</v>
      </c>
      <c r="L7" s="8"/>
      <c r="M7" s="23" t="str">
        <f t="shared" si="0"/>
        <v>否</v>
      </c>
      <c r="N7" s="13"/>
      <c r="O7" s="13"/>
      <c r="P7" s="33">
        <f t="shared" si="1"/>
        <v>5</v>
      </c>
      <c r="R7" s="5" t="str">
        <f t="shared" si="2"/>
        <v>wks</v>
      </c>
      <c r="S7" s="14"/>
      <c r="T7" s="14"/>
    </row>
    <row r="8" spans="1:21" s="5" customFormat="1" ht="13.5" x14ac:dyDescent="0.15">
      <c r="A8" s="22">
        <v>6</v>
      </c>
      <c r="B8" s="7">
        <v>42716</v>
      </c>
      <c r="C8" s="7">
        <f>WORKDAY(B8,IF(D8&lt;1,D8,D8-1),表1[[元旦]:[国庆]])</f>
        <v>42717</v>
      </c>
      <c r="D8" s="8">
        <v>2</v>
      </c>
      <c r="E8" s="23" t="str">
        <f>HLOOKUP(R8,表5[#All],2,FALSE)</f>
        <v>小春</v>
      </c>
      <c r="F8" s="23" t="str">
        <f>HLOOKUP(LOWER(LEFT(I8,3)),表_6[#All],2,)</f>
        <v>IOS</v>
      </c>
      <c r="G8" s="9" t="s">
        <v>24</v>
      </c>
      <c r="H8" s="10" t="s">
        <v>31</v>
      </c>
      <c r="I8" s="10" t="s">
        <v>32</v>
      </c>
      <c r="J8" s="32" t="str">
        <f>HYPERLINK("\\fs\Fileman\2) U上商侣2.0\161212\待审核\已审核\ios1215ysc_即时聊天_2_2.tasks","[查看]")</f>
        <v>[查看]</v>
      </c>
      <c r="K8" s="12" t="s">
        <v>82</v>
      </c>
      <c r="L8" s="8"/>
      <c r="M8" s="23" t="str">
        <f t="shared" si="0"/>
        <v>否</v>
      </c>
      <c r="N8" s="13"/>
      <c r="O8" s="13"/>
      <c r="P8" s="33">
        <f t="shared" si="1"/>
        <v>2</v>
      </c>
      <c r="R8" s="5" t="str">
        <f t="shared" si="2"/>
        <v>ysc</v>
      </c>
      <c r="S8" s="14"/>
      <c r="T8" s="14"/>
    </row>
    <row r="9" spans="1:21" s="5" customFormat="1" ht="13.5" x14ac:dyDescent="0.15">
      <c r="A9" s="22">
        <v>7</v>
      </c>
      <c r="B9" s="7">
        <v>42716</v>
      </c>
      <c r="C9" s="7">
        <f>WORKDAY(B9,IF(D9&lt;1,D9,D9-1),表1[[元旦]:[国庆]])</f>
        <v>42719</v>
      </c>
      <c r="D9" s="8">
        <v>4</v>
      </c>
      <c r="E9" s="23" t="str">
        <f>HLOOKUP(R9,表5[#All],2,FALSE)</f>
        <v>小川</v>
      </c>
      <c r="F9" s="23" t="str">
        <f>HLOOKUP(LOWER(LEFT(I9,3)),表_6[#All],2,)</f>
        <v>IOS</v>
      </c>
      <c r="G9" s="9" t="s">
        <v>24</v>
      </c>
      <c r="H9" s="10" t="s">
        <v>33</v>
      </c>
      <c r="I9" s="10" t="s">
        <v>34</v>
      </c>
      <c r="J9" s="32" t="str">
        <f>HYPERLINK("\\fs\Fileman\2) U上商侣2.0\161212\待审核\已审核\ios1215xl_即时聊天_2_2.tasks","[查看]")</f>
        <v>[查看]</v>
      </c>
      <c r="K9" s="12" t="s">
        <v>84</v>
      </c>
      <c r="L9" s="8"/>
      <c r="M9" s="23" t="str">
        <f t="shared" si="0"/>
        <v>否</v>
      </c>
      <c r="N9" s="13"/>
      <c r="O9" s="13"/>
      <c r="P9" s="33">
        <f t="shared" si="1"/>
        <v>4</v>
      </c>
      <c r="R9" s="5" t="str">
        <f t="shared" si="2"/>
        <v>xl</v>
      </c>
      <c r="S9" s="14"/>
      <c r="T9" s="14"/>
    </row>
    <row r="10" spans="1:21" s="5" customFormat="1" ht="13.5" x14ac:dyDescent="0.15">
      <c r="A10" s="22">
        <v>8</v>
      </c>
      <c r="B10" s="7">
        <v>42717</v>
      </c>
      <c r="C10" s="7">
        <f>WORKDAY(B10,IF(D10&lt;1,D10,D10-1),表1[[元旦]:[国庆]])</f>
        <v>42717</v>
      </c>
      <c r="D10" s="8">
        <v>1</v>
      </c>
      <c r="E10" s="23" t="str">
        <f>HLOOKUP(R10,表5[#All],2,FALSE)</f>
        <v>小瑞</v>
      </c>
      <c r="F10" s="23" t="str">
        <f>HLOOKUP(LOWER(LEFT(I10,3)),表_6[#All],2,)</f>
        <v>安卓</v>
      </c>
      <c r="G10" s="9" t="s">
        <v>24</v>
      </c>
      <c r="H10" s="10" t="s">
        <v>35</v>
      </c>
      <c r="I10" s="10" t="s">
        <v>26</v>
      </c>
      <c r="J10" s="32" t="str">
        <f>HYPERLINK("\\fs\Fileman\2) U上商侣2.0\161213\待审核\已审核\and1215cr_即时聊天_2_2.tasks","[查看]")</f>
        <v>[查看]</v>
      </c>
      <c r="K10" s="12" t="s">
        <v>82</v>
      </c>
      <c r="L10" s="8"/>
      <c r="M10" s="23" t="str">
        <f t="shared" si="0"/>
        <v>否</v>
      </c>
      <c r="N10" s="13"/>
      <c r="O10" s="13"/>
      <c r="P10" s="33">
        <f t="shared" si="1"/>
        <v>1</v>
      </c>
      <c r="R10" s="5" t="str">
        <f t="shared" si="2"/>
        <v>cr</v>
      </c>
      <c r="S10" s="14"/>
      <c r="T10" s="14"/>
    </row>
    <row r="11" spans="1:21" s="5" customFormat="1" ht="13.5" x14ac:dyDescent="0.15">
      <c r="A11" s="22">
        <v>9</v>
      </c>
      <c r="B11" s="7">
        <v>42717</v>
      </c>
      <c r="C11" s="7">
        <f>WORKDAY(B11,IF(D11&lt;1,D11,D11-1),表1[[元旦]:[国庆]])</f>
        <v>42719</v>
      </c>
      <c r="D11" s="8">
        <v>3</v>
      </c>
      <c r="E11" s="23" t="str">
        <f>HLOOKUP(R11,表5[#All],2,FALSE)</f>
        <v>小强</v>
      </c>
      <c r="F11" s="23" t="str">
        <f>HLOOKUP(LOWER(LEFT(I11,3)),表_6[#All],2,)</f>
        <v>IOS</v>
      </c>
      <c r="G11" s="9" t="s">
        <v>24</v>
      </c>
      <c r="H11" s="10" t="s">
        <v>36</v>
      </c>
      <c r="I11" s="10" t="s">
        <v>37</v>
      </c>
      <c r="J11" s="32" t="str">
        <f>HYPERLINK("\\fs\Fileman\2) U上商侣2.0\161213\待审核\已审核\ios1215lrq_即时聊天_2_2.tasks","[查看]")</f>
        <v>[查看]</v>
      </c>
      <c r="K11" s="12" t="s">
        <v>85</v>
      </c>
      <c r="L11" s="8"/>
      <c r="M11" s="23" t="str">
        <f t="shared" si="0"/>
        <v>否</v>
      </c>
      <c r="N11" s="13"/>
      <c r="O11" s="13"/>
      <c r="P11" s="33">
        <f t="shared" si="1"/>
        <v>3</v>
      </c>
      <c r="R11" s="5" t="str">
        <f t="shared" si="2"/>
        <v>lrq</v>
      </c>
      <c r="S11" s="14"/>
      <c r="T11" s="14"/>
    </row>
  </sheetData>
  <autoFilter ref="A2:R11">
    <sortState ref="A494:R1408">
      <sortCondition ref="E2:E1239"/>
    </sortState>
  </autoFilter>
  <sortState ref="A494:T1327">
    <sortCondition ref="A1"/>
  </sortState>
  <mergeCells count="1">
    <mergeCell ref="D1:H1"/>
  </mergeCells>
  <phoneticPr fontId="20" type="noConversion"/>
  <conditionalFormatting sqref="I1:I1048576">
    <cfRule type="expression" dxfId="8" priority="4" stopIfTrue="1">
      <formula>RIGHT(I1,LEN(".delay"))=".delay"</formula>
    </cfRule>
    <cfRule type="expression" dxfId="7" priority="5" stopIfTrue="1">
      <formula>LEFT(I1,LEN("mdl"))="mdl"</formula>
    </cfRule>
    <cfRule type="expression" dxfId="6" priority="6" stopIfTrue="1">
      <formula>RIGHT(I1,LEN(".tasks"))=".tasks"</formula>
    </cfRule>
  </conditionalFormatting>
  <conditionalFormatting sqref="D2:D1048576">
    <cfRule type="cellIs" dxfId="5" priority="9" stopIfTrue="1" operator="equal">
      <formula>"[N/A]"</formula>
    </cfRule>
  </conditionalFormatting>
  <conditionalFormatting sqref="K1:K1048576">
    <cfRule type="cellIs" dxfId="4" priority="7" operator="equal">
      <formula>"已关闭"</formula>
    </cfRule>
    <cfRule type="beginsWith" dxfId="3" priority="8" operator="beginsWith" text="#">
      <formula>LEFT(K1,LEN("#"))="#"</formula>
    </cfRule>
    <cfRule type="expression" dxfId="2" priority="10" stopIfTrue="1">
      <formula>NOT(ISERROR(SEARCH("已审核",K1)))</formula>
    </cfRule>
    <cfRule type="expression" dxfId="1" priority="11" stopIfTrue="1">
      <formula>NOT(ISERROR(SEARCH("待审核",K1)))</formula>
    </cfRule>
    <cfRule type="expression" dxfId="0" priority="12" stopIfTrue="1">
      <formula>NOT(ISERROR(SEARCH("进行中",K1)))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RefreshAll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Pict="0" macro="[0]!Later">
                <anchor moveWithCells="1" sizeWithCells="1">
                  <from>
                    <xdr:col>1</xdr:col>
                    <xdr:colOff>752475</xdr:colOff>
                    <xdr:row>0</xdr:row>
                    <xdr:rowOff>0</xdr:rowOff>
                  </from>
                  <to>
                    <xdr:col>2</xdr:col>
                    <xdr:colOff>466725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Pict="0" macro="[0]!Earlier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762000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Pict="0" macro="[0]!SetChartPeriod">
                <anchor moveWithCells="1" sizeWithCells="1">
                  <from>
                    <xdr:col>20</xdr:col>
                    <xdr:colOff>657225</xdr:colOff>
                    <xdr:row>0</xdr:row>
                    <xdr:rowOff>0</xdr:rowOff>
                  </from>
                  <to>
                    <xdr:col>22</xdr:col>
                    <xdr:colOff>447675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Pict="0" macro="[0]!RefreshSel">
                <anchor moveWithCells="1" siz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Button 20">
              <controlPr defaultSize="0" print="0" autoPict="0" macro="[0]!Arrange" altText="清理未分配任务">
                <anchor moveWithCells="1" sizeWithCells="1">
                  <from>
                    <xdr:col>3</xdr:col>
                    <xdr:colOff>0</xdr:colOff>
                    <xdr:row>0</xdr:row>
                    <xdr:rowOff>28575</xdr:rowOff>
                  </from>
                  <to>
                    <xdr:col>4</xdr:col>
                    <xdr:colOff>371475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0" name="Button 22">
              <controlPr defaultSize="0" print="0" autoPict="0" macro="[0]!AppendLost" altText="清理未分配任务">
                <anchor moveWithCells="1" sizeWithCells="1">
                  <from>
                    <xdr:col>8</xdr:col>
                    <xdr:colOff>38100</xdr:colOff>
                    <xdr:row>0</xdr:row>
                    <xdr:rowOff>333375</xdr:rowOff>
                  </from>
                  <to>
                    <xdr:col>8</xdr:col>
                    <xdr:colOff>1285875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1" name="Button 23">
              <controlPr defaultSize="0" print="0" autoPict="0" macro="[0]!CleanAll" altText="清理未分配任务">
                <anchor moveWithCells="1" sizeWithCells="1">
                  <from>
                    <xdr:col>8</xdr:col>
                    <xdr:colOff>38100</xdr:colOff>
                    <xdr:row>0</xdr:row>
                    <xdr:rowOff>0</xdr:rowOff>
                  </from>
                  <to>
                    <xdr:col>8</xdr:col>
                    <xdr:colOff>1285875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" workbookViewId="0">
      <selection activeCell="E188" sqref="E188"/>
    </sheetView>
  </sheetViews>
  <sheetFormatPr defaultColWidth="8.875" defaultRowHeight="13.5" x14ac:dyDescent="0.15"/>
  <sheetData/>
  <phoneticPr fontId="20" type="noConversion"/>
  <pageMargins left="0.69930555555555596" right="0.69930555555555596" top="0.75" bottom="0.75" header="0.3" footer="0.3"/>
  <pageSetup paperSize="9" orientation="portrait" horizontalDpi="2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7"/>
  <sheetViews>
    <sheetView workbookViewId="0">
      <selection activeCell="C19" sqref="C19"/>
    </sheetView>
  </sheetViews>
  <sheetFormatPr defaultColWidth="8.875" defaultRowHeight="13.5" x14ac:dyDescent="0.15"/>
  <cols>
    <col min="2" max="2" width="10.25" customWidth="1"/>
    <col min="3" max="3" width="9.625" customWidth="1"/>
    <col min="4" max="4" width="10.5" customWidth="1"/>
    <col min="5" max="6" width="9.5" customWidth="1"/>
    <col min="7" max="9" width="10.5" customWidth="1"/>
  </cols>
  <sheetData>
    <row r="2" spans="2:23" x14ac:dyDescent="0.15">
      <c r="B2" t="s">
        <v>38</v>
      </c>
      <c r="C2" t="s">
        <v>39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</row>
    <row r="3" spans="2:23" x14ac:dyDescent="0.15">
      <c r="B3">
        <v>1</v>
      </c>
      <c r="C3" s="1">
        <v>42370</v>
      </c>
      <c r="D3" s="1">
        <v>42406</v>
      </c>
      <c r="E3" s="1">
        <v>42464</v>
      </c>
      <c r="F3" s="1">
        <v>42491</v>
      </c>
      <c r="G3" s="1">
        <v>42530</v>
      </c>
      <c r="H3" s="1">
        <v>42628</v>
      </c>
      <c r="I3" s="1">
        <v>42644</v>
      </c>
    </row>
    <row r="4" spans="2:23" x14ac:dyDescent="0.15">
      <c r="B4">
        <v>2</v>
      </c>
      <c r="C4" s="1">
        <v>42371</v>
      </c>
      <c r="D4" s="1">
        <v>42407</v>
      </c>
      <c r="E4" s="1"/>
      <c r="F4" s="1"/>
      <c r="G4" s="1">
        <v>42531</v>
      </c>
      <c r="H4" s="1">
        <v>42629</v>
      </c>
      <c r="I4" s="1">
        <v>42645</v>
      </c>
    </row>
    <row r="5" spans="2:23" x14ac:dyDescent="0.15">
      <c r="B5">
        <v>3</v>
      </c>
      <c r="C5" s="1">
        <v>42372</v>
      </c>
      <c r="D5" s="1">
        <v>42408</v>
      </c>
      <c r="E5" s="1"/>
      <c r="F5" s="1"/>
      <c r="G5" s="1"/>
      <c r="H5" s="1"/>
      <c r="I5" s="1">
        <v>42646</v>
      </c>
    </row>
    <row r="6" spans="2:23" x14ac:dyDescent="0.15">
      <c r="B6">
        <v>4</v>
      </c>
      <c r="C6" s="1"/>
      <c r="D6" s="1">
        <v>42409</v>
      </c>
      <c r="E6" s="1"/>
      <c r="F6" s="1"/>
      <c r="G6" s="1"/>
      <c r="H6" s="1"/>
      <c r="I6" s="1">
        <v>42647</v>
      </c>
    </row>
    <row r="7" spans="2:23" x14ac:dyDescent="0.15">
      <c r="B7">
        <v>5</v>
      </c>
      <c r="C7" s="1"/>
      <c r="D7" s="1">
        <v>42410</v>
      </c>
      <c r="E7" s="1"/>
      <c r="F7" s="1"/>
      <c r="G7" s="1"/>
      <c r="H7" s="1"/>
      <c r="I7" s="1">
        <v>42648</v>
      </c>
    </row>
    <row r="8" spans="2:23" x14ac:dyDescent="0.15">
      <c r="B8">
        <v>6</v>
      </c>
      <c r="C8" s="1"/>
      <c r="D8" s="1">
        <v>42411</v>
      </c>
      <c r="E8" s="1"/>
      <c r="F8" s="1"/>
      <c r="G8" s="1"/>
      <c r="H8" s="1"/>
      <c r="I8" s="1">
        <v>42649</v>
      </c>
    </row>
    <row r="9" spans="2:23" x14ac:dyDescent="0.15">
      <c r="B9">
        <v>7</v>
      </c>
      <c r="C9" s="1"/>
      <c r="D9" s="1">
        <v>42412</v>
      </c>
      <c r="E9" s="1"/>
      <c r="F9" s="1"/>
      <c r="G9" s="1"/>
      <c r="H9" s="1"/>
      <c r="I9" s="1">
        <v>42650</v>
      </c>
    </row>
    <row r="11" spans="2:23" x14ac:dyDescent="0.15">
      <c r="B11" t="s">
        <v>46</v>
      </c>
    </row>
    <row r="12" spans="2:23" x14ac:dyDescent="0.15">
      <c r="B12" t="s">
        <v>47</v>
      </c>
      <c r="C12" s="2" t="s">
        <v>48</v>
      </c>
      <c r="D12" t="s">
        <v>49</v>
      </c>
      <c r="E12" t="s">
        <v>50</v>
      </c>
      <c r="F12" t="s">
        <v>51</v>
      </c>
      <c r="G12" t="s">
        <v>52</v>
      </c>
      <c r="H12" t="s">
        <v>53</v>
      </c>
      <c r="I12" t="s">
        <v>54</v>
      </c>
      <c r="J12" t="s">
        <v>55</v>
      </c>
      <c r="K12" t="s">
        <v>56</v>
      </c>
      <c r="L12" t="s">
        <v>57</v>
      </c>
      <c r="M12" t="s">
        <v>58</v>
      </c>
      <c r="N12" t="s">
        <v>59</v>
      </c>
      <c r="O12" t="s">
        <v>60</v>
      </c>
      <c r="P12" t="s">
        <v>61</v>
      </c>
      <c r="Q12" t="s">
        <v>62</v>
      </c>
      <c r="R12" t="s">
        <v>63</v>
      </c>
      <c r="S12" s="4" t="s">
        <v>111</v>
      </c>
      <c r="T12" s="4" t="s">
        <v>110</v>
      </c>
      <c r="U12" s="3" t="s">
        <v>64</v>
      </c>
      <c r="V12" s="4" t="s">
        <v>106</v>
      </c>
      <c r="W12" s="37" t="s">
        <v>108</v>
      </c>
    </row>
    <row r="13" spans="2:23" x14ac:dyDescent="0.15">
      <c r="B13" t="s">
        <v>65</v>
      </c>
      <c r="C13" s="36" t="s">
        <v>87</v>
      </c>
      <c r="D13" s="4" t="s">
        <v>88</v>
      </c>
      <c r="E13" s="4" t="s">
        <v>92</v>
      </c>
      <c r="F13" s="4" t="s">
        <v>89</v>
      </c>
      <c r="G13" s="4" t="s">
        <v>90</v>
      </c>
      <c r="H13" s="4" t="s">
        <v>91</v>
      </c>
      <c r="I13" s="4" t="s">
        <v>93</v>
      </c>
      <c r="J13" s="4" t="s">
        <v>94</v>
      </c>
      <c r="K13" s="4" t="s">
        <v>95</v>
      </c>
      <c r="L13" s="4" t="s">
        <v>96</v>
      </c>
      <c r="M13" s="4" t="s">
        <v>97</v>
      </c>
      <c r="N13" s="4" t="s">
        <v>98</v>
      </c>
      <c r="O13" s="4" t="s">
        <v>99</v>
      </c>
      <c r="P13" s="4" t="s">
        <v>100</v>
      </c>
      <c r="Q13" s="4" t="s">
        <v>101</v>
      </c>
      <c r="R13" s="4" t="s">
        <v>102</v>
      </c>
      <c r="S13" s="4" t="s">
        <v>103</v>
      </c>
      <c r="T13" s="4" t="s">
        <v>104</v>
      </c>
      <c r="U13" s="4" t="s">
        <v>105</v>
      </c>
      <c r="V13" s="4" t="s">
        <v>107</v>
      </c>
      <c r="W13" s="4" t="s">
        <v>109</v>
      </c>
    </row>
    <row r="16" spans="2:23" x14ac:dyDescent="0.15">
      <c r="B16" t="s">
        <v>66</v>
      </c>
      <c r="C16" t="s">
        <v>67</v>
      </c>
      <c r="D16" t="s">
        <v>68</v>
      </c>
      <c r="E16" t="s">
        <v>69</v>
      </c>
      <c r="F16" t="s">
        <v>70</v>
      </c>
      <c r="G16" t="s">
        <v>71</v>
      </c>
      <c r="H16" t="s">
        <v>72</v>
      </c>
      <c r="I16" t="s">
        <v>73</v>
      </c>
    </row>
    <row r="17" spans="2:9" x14ac:dyDescent="0.15">
      <c r="B17" t="s">
        <v>74</v>
      </c>
      <c r="C17" t="s">
        <v>75</v>
      </c>
      <c r="D17" t="s">
        <v>76</v>
      </c>
      <c r="E17" t="s">
        <v>77</v>
      </c>
      <c r="F17" t="s">
        <v>78</v>
      </c>
      <c r="G17" t="s">
        <v>79</v>
      </c>
      <c r="H17" t="s">
        <v>80</v>
      </c>
      <c r="I17" t="s">
        <v>81</v>
      </c>
    </row>
  </sheetData>
  <phoneticPr fontId="20" type="noConversion"/>
  <pageMargins left="0.69930555555555596" right="0.69930555555555596" top="0.75" bottom="0.75" header="0.3" footer="0.3"/>
  <pageSetup paperSize="9" orientation="portrait" horizontalDpi="200" verticalDpi="200" r:id="rId1"/>
  <tableParts count="3">
    <tablePart r:id="rId2"/>
    <tablePart r:id="rId3"/>
    <tablePart r:id="rId4"/>
  </tableParts>
</worksheet>
</file>

<file path=_xmlsignatures/_rels/origin.sigs.rels><?xml version="1.0" encoding="UTF-8" standalone="yes"?>
<Relationships xmlns="http://schemas.openxmlformats.org/package/2006/relationships"><Relationship Id="rId1" Type="http://schemas.openxmlformats.org/package/2006/relationships/digital-signature/signature" Target="sig1.xml"/></Relationships>
</file>

<file path=_xmlsignatures/sig1.xml><?xml version="1.0" encoding="utf-8"?>
<Signature xmlns="http://www.w3.org/2000/09/xmldsig#" Id="idPackageSignature">
  <SignedInfo>
    <CanonicalizationMethod Algorithm="http://www.w3.org/TR/2001/REC-xml-c14n-20010315"/>
    <SignatureMethod Algorithm="http://www.w3.org/2001/04/xmldsig-more#rsa-sha256"/>
    <Reference Type="http://www.w3.org/2000/09/xmldsig#Object" URI="#idPackageObject">
      <DigestMethod Algorithm="http://www.w3.org/2001/04/xmlenc#sha256"/>
      <DigestValue>nU3elvLrN6ndo4qPTNoJh1Vi8MWRoWeBn7nK7s8fjGM=</DigestValue>
    </Reference>
    <Reference Type="http://www.w3.org/2000/09/xmldsig#Object" URI="#idOfficeObject">
      <DigestMethod Algorithm="http://www.w3.org/2001/04/xmlenc#sha256"/>
      <DigestValue>mMhDg13avR0TbmD76l16kdU9GVTCMpjhV3s+FEg/R0Q=</DigestValue>
    </Reference>
    <Reference Type="http://uri.etsi.org/01903#SignedProperties" URI="#idSignedProperties">
      <Transforms>
        <Transform Algorithm="http://www.w3.org/TR/2001/REC-xml-c14n-20010315"/>
      </Transforms>
      <DigestMethod Algorithm="http://www.w3.org/2001/04/xmlenc#sha256"/>
      <DigestValue>Oxmlz+PF0AnXUB7wVfKJ+K5WNRIwDlrE/ikdj2z7Oww=</DigestValue>
    </Reference>
  </SignedInfo>
  <SignatureValue>VbOu8EnFThK385drR6LXz5ihmgGkYjGrNSdJBbdgk3VfyaUTxXZHKZBEmPN2iadlud3FFmeoxlIv
DNGhsqpBDoprzX88kD9btjGmIrYp0NxS/U+zOFhXRMNv8drVwfYjK45wJaSmShg7LRxBOeD1qz5K
OH01tKVyj3haM0Ms4N+sp8p3icv3ree0S1d3qkE4Ay1LseEJoGgYL9HWODmSRvsA2JGQkGOoit0Y
5EEmioIx/3yhoKDAlQyin5COnL8z6qFasPUOIulEkWAesye/EMJWsjqyCUAOJSKSDAat33M3HtO0
wk4iNdna+FL4Wl4cVRT32jwK1pT/WpZbruTgHw==</SignatureValue>
  <KeyInfo>
    <X509Data>
      <X509Certificate>MIIEpDCCA4ygAwIBAgIQHnZ5MTK/FTM68ma50UW0kDANBgkqhkiG9w0BAQsFADBTMQswCQYDVQQGEwJDTjEjMCEGA1UECgwaTWVTaW5jZSBUZWNobm9sb2d5IExpbWl0ZWQxHzAdBgNVBAMMFk1lU2luY2UgVjEgSWRlbnRpdHkgQ0EwHhcNMTkwMzE1MDU1NzI5WhcNMjAwNDEyMTc1NzI1WjA+MRowGAYDVQQDDBF4aWFveXUudmF4QHFxLmNvbTEgMB4GCSqGSIb3DQEJARYReGlhb3l1LnZheEBxcS5jb20wggEiMA0GCSqGSIb3DQEBAQUAA4IBDwAwggEKAoIBAQCcbkhkh3A5OVGVdC6kGXLeKwQ5FQ5NDqp8RTvcKq+nfUQbwwRdxE2rAXgDJKNVFoKDODuWby7azV23nLk9CuwuPZBPUoYsuJqorm4DLYSKKSCRs9MsPTIXTF69G+JAR1EhFdO1mgcZtdXEqsxNnRjhkZqJKXu/OnHfAqLNwqM+fwa3ZlmcvQKGemb2Qgtf9CiJmLzm9YIfjsbnerjnBiGLlCqVURVgUCkwkqxgKsQb8Ugv3wxMxKWJZnyjmr7IBsh+qJ6NNwYosvuwe2CaGBWIQRwNOmoOX3z0eYCGfhzbwr0oAHXvbVQzLCeOrYmIixyqMLyn50Dy1niGMy+vnucnAgMBAAGjggGHMIIBgzAOBgNVHQ8BAf8EBAMCBsAwHQYDVR0lBBYwFAYIKwYBBQUHAwIGCCsGAQUFBwMEMAkGA1UdEwQCMAAwHQYDVR0OBBYEFO9suGMZSPfl/JI9febUfJ+MLCakMB8GA1UdIwQYMBaAFBV0AJrWsx+nt0jS72FoZbsUgJUlMGEGCCsGAQUFBwEBBFUwUzAjBggrBgEFBQcwAYYXaHR0cDovL29jc3AubWVzaW5jZS5jb20wLAYIKwYBBQUHMAKGIGh0dHA6Ly9haWEubWVzaW5jZS5jb20vbXMtdjEuY2VyMDEGA1UdHwQqMCgwJqAkoCKGIGh0dHA6Ly9jcmwubWVzaW5jZS5jb20vbXMtdjEuY3JsMBwGA1UdEQQVMBOBEXhpYW95dS52YXhAcXEuY29tMFMGA1UdIARMMEowDQYLKwYBBAGDjFcDAwEwOQYJKwYBBAGDjFcLMCwwKgYIKwYBBQUHAgEWHmh0dHA6Ly93d3cubWVzaW5jZS5jb20vcG9saWN5LzANBgkqhkiG9w0BAQsFAAOCAQEASG28vxD7/tNcAK9dJhYPkEnKtIkLOGMm/q2GIh0Ajy27zQmXdfH66cBMu7wb70QAJFiK9DXbfmKkF4bNgIOBGHvvvu7/HI38Yy6mJeo7LvwbP+UHGjaM0R84zMdr5LswAXsYkzflE20RoPFnYIFwyHfWFfaaaw1789FipQSdDXQn1t4iPPeGpSOd+xvqh+zcEY0yEiftNERV/AxwQ5cXOzzweq9dbgoEE9IsyLU7lGBlZ4r1KFfFKmqGH35nvSlgJ71PpvMfGP3HTIlQMlfWZIyx/8RZaaJP4+4fW2y/ZH30jLJX64YXD8c+sG4DPFMOOclEmn5QNl+ORWwidUNhQw==</X509Certificate>
    </X509Data>
  </KeyInfo>
  <Object Id="idPackageObject">
    <Manifest>
      <Reference URI="/_rels/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2f3AFpmV4xMG5w1iTrxxA0J9QIy47+YsQamqbXmHTzc=</DigestValue>
      </Reference>
      <Reference URI="/xl/_rels/workbook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  <mdssi:RelationshipReference xmlns:mdssi="http://schemas.openxmlformats.org/package/2006/digital-signature" SourceId="rId5"/>
            <mdssi:RelationshipReference xmlns:mdssi="http://schemas.openxmlformats.org/package/2006/digital-signature" SourceId="rId4"/>
            <mdssi:RelationshipReference xmlns:mdssi="http://schemas.openxmlformats.org/package/2006/digital-signature" SourceId="rId8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1/04/xmlenc#sha256"/>
        <DigestValue>m91KlJBZg5jLZPupAjBPMp9XLvZBNM2R9r1kMOYCZ44=</DigestValue>
      </Reference>
      <Reference URI="/xl/calcChain.xml?ContentType=application/vnd.openxmlformats-officedocument.spreadsheetml.calcChain+xml">
        <DigestMethod Algorithm="http://www.w3.org/2001/04/xmlenc#sha256"/>
        <DigestValue>1rCXy7d4rEjpvs7itWZl8hpliG10YcEZXOdCBkHYYCw=</DigestValue>
      </Reference>
      <Reference URI="/xl/charts/_rels/char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iiIUTw551Pf7bTYXz0p/pxL7b94OSgCO8EQWIeBhUcA=</DigestValue>
      </Reference>
      <Reference URI="/xl/charts/chart1.xml?ContentType=application/vnd.openxmlformats-officedocument.drawingml.chart+xml">
        <DigestMethod Algorithm="http://www.w3.org/2001/04/xmlenc#sha256"/>
        <DigestValue>50KBKyidCOrGM97zX9FtDAY7TqRYVIrVU4oKmGJsVvM=</DigestValue>
      </Reference>
      <Reference URI="/xl/charts/chart2.xml?ContentType=application/vnd.openxmlformats-officedocument.drawingml.chart+xml">
        <DigestMethod Algorithm="http://www.w3.org/2001/04/xmlenc#sha256"/>
        <DigestValue>fmOgzWrQIcS04AtNdWzJ993rM5vjBj1dl1D6DEqchGg=</DigestValue>
      </Reference>
      <Reference URI="/xl/charts/colors1.xml?ContentType=application/vnd.ms-office.chartcolorstyle+xml">
        <DigestMethod Algorithm="http://www.w3.org/2001/04/xmlenc#sha256"/>
        <DigestValue>K36xYxM5g8bVJgjdKhx7zaJok8QG5lGEP2ZDpd56pKo=</DigestValue>
      </Reference>
      <Reference URI="/xl/charts/style1.xml?ContentType=application/vnd.ms-office.chartstyle+xml">
        <DigestMethod Algorithm="http://www.w3.org/2001/04/xmlenc#sha256"/>
        <DigestValue>ST1jkAruVGYfXTBnfi1goCm6Llzw/YRfQsIhZwSg+QU=</DigestValue>
      </Reference>
      <Reference URI="/xl/comments1.xml?ContentType=application/vnd.openxmlformats-officedocument.spreadsheetml.comments+xml">
        <DigestMethod Algorithm="http://www.w3.org/2001/04/xmlenc#sha256"/>
        <DigestValue>nUk9F8ZYJfotKCU3rr3XoZV2c74eMhYevqfsg/3aoOc=</DigestValue>
      </Reference>
      <Reference URI="/xl/ctrlProps/ctrlProp1.xml?ContentType=application/vnd.ms-excel.controlproperties+xml">
        <DigestMethod Algorithm="http://www.w3.org/2001/04/xmlenc#sha256"/>
        <DigestValue>GQTBno8LKbiNR5NPCfeHTVZLZczdbojGFvyqnL8WlGI=</DigestValue>
      </Reference>
      <Reference URI="/xl/ctrlProps/ctrlProp2.xml?ContentType=application/vnd.ms-excel.controlproperties+xml">
        <DigestMethod Algorithm="http://www.w3.org/2001/04/xmlenc#sha256"/>
        <DigestValue>GQTBno8LKbiNR5NPCfeHTVZLZczdbojGFvyqnL8WlGI=</DigestValue>
      </Reference>
      <Reference URI="/xl/ctrlProps/ctrlProp3.xml?ContentType=application/vnd.ms-excel.controlproperties+xml">
        <DigestMethod Algorithm="http://www.w3.org/2001/04/xmlenc#sha256"/>
        <DigestValue>GQTBno8LKbiNR5NPCfeHTVZLZczdbojGFvyqnL8WlGI=</DigestValue>
      </Reference>
      <Reference URI="/xl/ctrlProps/ctrlProp4.xml?ContentType=application/vnd.ms-excel.controlproperties+xml">
        <DigestMethod Algorithm="http://www.w3.org/2001/04/xmlenc#sha256"/>
        <DigestValue>GQTBno8LKbiNR5NPCfeHTVZLZczdbojGFvyqnL8WlGI=</DigestValue>
      </Reference>
      <Reference URI="/xl/ctrlProps/ctrlProp5.xml?ContentType=application/vnd.ms-excel.controlproperties+xml">
        <DigestMethod Algorithm="http://www.w3.org/2001/04/xmlenc#sha256"/>
        <DigestValue>GQTBno8LKbiNR5NPCfeHTVZLZczdbojGFvyqnL8WlGI=</DigestValue>
      </Reference>
      <Reference URI="/xl/ctrlProps/ctrlProp6.xml?ContentType=application/vnd.ms-excel.controlproperties+xml">
        <DigestMethod Algorithm="http://www.w3.org/2001/04/xmlenc#sha256"/>
        <DigestValue>GQTBno8LKbiNR5NPCfeHTVZLZczdbojGFvyqnL8WlGI=</DigestValue>
      </Reference>
      <Reference URI="/xl/ctrlProps/ctrlProp7.xml?ContentType=application/vnd.ms-excel.controlproperties+xml">
        <DigestMethod Algorithm="http://www.w3.org/2001/04/xmlenc#sha256"/>
        <DigestValue>GQTBno8LKbiNR5NPCfeHTVZLZczdbojGFvyqnL8WlGI=</DigestValue>
      </Reference>
      <Reference URI="/xl/ctrlProps/ctrlProp8.xml?ContentType=application/vnd.ms-excel.controlproperties+xml">
        <DigestMethod Algorithm="http://www.w3.org/2001/04/xmlenc#sha256"/>
        <DigestValue>GQTBno8LKbiNR5NPCfeHTVZLZczdbojGFvyqnL8WlGI=</DigestValue>
      </Reference>
      <Reference URI="/xl/drawings/_rels/drawing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aT94V8Wz1bpzKr/beusbcXJut1shLdaYPh7KFdfLu4M=</DigestValue>
      </Reference>
      <Reference URI="/xl/drawings/_rels/drawing2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ZKrQfRqrQ6yYz3Yi7IZhh1X0DcONl9EI9re48x6/SJU=</DigestValue>
      </Reference>
      <Reference URI="/xl/drawings/drawing1.xml?ContentType=application/vnd.openxmlformats-officedocument.drawing+xml">
        <DigestMethod Algorithm="http://www.w3.org/2001/04/xmlenc#sha256"/>
        <DigestValue>5g/2QAesJE4/polUTo/K/2nBxmIE0vzkxynqp0n7GAE=</DigestValue>
      </Reference>
      <Reference URI="/xl/drawings/drawing2.xml?ContentType=application/vnd.openxmlformats-officedocument.drawing+xml">
        <DigestMethod Algorithm="http://www.w3.org/2001/04/xmlenc#sha256"/>
        <DigestValue>OWawrfMMOsuzfJlMMbggvdnPKGywbMmrq2+66erm3ng=</DigestValue>
      </Reference>
      <Reference URI="/xl/drawings/vmlDrawing1.vml?ContentType=application/vnd.openxmlformats-officedocument.vmlDrawing">
        <DigestMethod Algorithm="http://www.w3.org/2001/04/xmlenc#sha256"/>
        <DigestValue>bqa4DH1AhZNjwIpyuk2FxrHPmTaHZ97KhRf142+MLsA=</DigestValue>
      </Reference>
      <Reference URI="/xl/printerSettings/printerSettings1.bin?ContentType=application/vnd.openxmlformats-officedocument.spreadsheetml.printerSettings">
        <DigestMethod Algorithm="http://www.w3.org/2001/04/xmlenc#sha256"/>
        <DigestValue>TS7O5eLuZNEcAaspa3Sh+acFLaYkBd58gJXSr/4Ao28=</DigestValue>
      </Reference>
      <Reference URI="/xl/printerSettings/printerSettings2.bin?ContentType=application/vnd.openxmlformats-officedocument.spreadsheetml.printerSettings">
        <DigestMethod Algorithm="http://www.w3.org/2001/04/xmlenc#sha256"/>
        <DigestValue>TS7O5eLuZNEcAaspa3Sh+acFLaYkBd58gJXSr/4Ao28=</DigestValue>
      </Reference>
      <Reference URI="/xl/sharedStrings.xml?ContentType=application/vnd.openxmlformats-officedocument.spreadsheetml.sharedStrings+xml">
        <DigestMethod Algorithm="http://www.w3.org/2001/04/xmlenc#sha256"/>
        <DigestValue>haMYe02128H7jYS0tiBnnPKvMdhJ4a9BLvfrNL1Vx3U=</DigestValue>
      </Reference>
      <Reference URI="/xl/styles.xml?ContentType=application/vnd.openxmlformats-officedocument.spreadsheetml.styles+xml">
        <DigestMethod Algorithm="http://www.w3.org/2001/04/xmlenc#sha256"/>
        <DigestValue>TjeH/IgsI5RsVkYGIHIcZGy7VIkqBpWIppsR+2pJkyI=</DigestValue>
      </Reference>
      <Reference URI="/xl/tables/table1.xml?ContentType=application/vnd.openxmlformats-officedocument.spreadsheetml.table+xml">
        <DigestMethod Algorithm="http://www.w3.org/2001/04/xmlenc#sha256"/>
        <DigestValue>aXRgt+/nzrwzG3fmYmpKxaXaolsHtuarl+jd7/VA1kw=</DigestValue>
      </Reference>
      <Reference URI="/xl/tables/table2.xml?ContentType=application/vnd.openxmlformats-officedocument.spreadsheetml.table+xml">
        <DigestMethod Algorithm="http://www.w3.org/2001/04/xmlenc#sha256"/>
        <DigestValue>lj3TBHqPIzIf/YIvRBQ7d5FZNgW4GuaGrm96HhMpKio=</DigestValue>
      </Reference>
      <Reference URI="/xl/tables/table3.xml?ContentType=application/vnd.openxmlformats-officedocument.spreadsheetml.table+xml">
        <DigestMethod Algorithm="http://www.w3.org/2001/04/xmlenc#sha256"/>
        <DigestValue>DyGNOQ0YHmi/2apPhW+UtyaCZ7seCTqe869+D9EVQJo=</DigestValue>
      </Reference>
      <Reference URI="/xl/theme/theme1.xml?ContentType=application/vnd.openxmlformats-officedocument.theme+xml">
        <DigestMethod Algorithm="http://www.w3.org/2001/04/xmlenc#sha256"/>
        <DigestValue>kKBmlfHTEOMidezP2Hdz4FMiku+4YtnERPfXYw/AxOo=</DigestValue>
      </Reference>
      <Reference URI="/xl/vbaProject.bin?ContentType=application/vnd.ms-office.vbaProject">
        <DigestMethod Algorithm="http://www.w3.org/2001/04/xmlenc#sha256"/>
        <DigestValue>B1JzxI0t3pP9/HLJwspWpcwk55F/sJWxcfDRJDxJWi8=</DigestValue>
      </Reference>
      <Reference URI="/xl/workbook.xml?ContentType=application/vnd.ms-excel.sheet.macroEnabled.main+xml">
        <DigestMethod Algorithm="http://www.w3.org/2001/04/xmlenc#sha256"/>
        <DigestValue>6J/3ghQem5fAt7+DDcUED/g9aFBv9NQPtHwwYpiGxbo=</DigestValue>
      </Reference>
      <Reference URI="/xl/worksheets/_rels/sheet1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0"/>
            <mdssi:RelationshipReference xmlns:mdssi="http://schemas.openxmlformats.org/package/2006/digital-signature" SourceId="rId4"/>
            <mdssi:RelationshipReference xmlns:mdssi="http://schemas.openxmlformats.org/package/2006/digital-signature" SourceId="rId9"/>
            <mdssi:RelationshipReference xmlns:mdssi="http://schemas.openxmlformats.org/package/2006/digital-signature" SourceId="rId8"/>
            <mdssi:RelationshipReference xmlns:mdssi="http://schemas.openxmlformats.org/package/2006/digital-signature" SourceId="rId3"/>
            <mdssi:RelationshipReference xmlns:mdssi="http://schemas.openxmlformats.org/package/2006/digital-signature" SourceId="rId7"/>
            <mdssi:RelationshipReference xmlns:mdssi="http://schemas.openxmlformats.org/package/2006/digital-signature" SourceId="rId12"/>
            <mdssi:RelationshipReference xmlns:mdssi="http://schemas.openxmlformats.org/package/2006/digital-signature" SourceId="rId2"/>
            <mdssi:RelationshipReference xmlns:mdssi="http://schemas.openxmlformats.org/package/2006/digital-signature" SourceId="rId1"/>
            <mdssi:RelationshipReference xmlns:mdssi="http://schemas.openxmlformats.org/package/2006/digital-signature" SourceId="rId6"/>
            <mdssi:RelationshipReference xmlns:mdssi="http://schemas.openxmlformats.org/package/2006/digital-signature" SourceId="rId11"/>
            <mdssi:RelationshipReference xmlns:mdssi="http://schemas.openxmlformats.org/package/2006/digital-signature" SourceId="rId5"/>
          </Transform>
          <Transform Algorithm="http://www.w3.org/TR/2001/REC-xml-c14n-20010315"/>
        </Transforms>
        <DigestMethod Algorithm="http://www.w3.org/2001/04/xmlenc#sha256"/>
        <DigestValue>CAHuYVyT0yWjjrJCgCo/U4retOw8XQGbtuQDvlE3OeE=</DigestValue>
      </Reference>
      <Reference URI="/xl/worksheets/_rels/sheet2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</Transform>
          <Transform Algorithm="http://www.w3.org/TR/2001/REC-xml-c14n-20010315"/>
        </Transforms>
        <DigestMethod Algorithm="http://www.w3.org/2001/04/xmlenc#sha256"/>
        <DigestValue>lHnnYDirKb6jIxGHnqbP97pjMgmbUlToG4p69Ye0Gm8=</DigestValue>
      </Reference>
      <Reference URI="/xl/worksheets/_rels/sheet3.xml.rels?ContentType=application/vnd.openxmlformats-package.relationships+xml">
        <Transforms>
          <Transform Algorithm="http://schemas.openxmlformats.org/package/2006/RelationshipTransform">
            <mdssi:RelationshipReference xmlns:mdssi="http://schemas.openxmlformats.org/package/2006/digital-signature" SourceId="rId1"/>
            <mdssi:RelationshipReference xmlns:mdssi="http://schemas.openxmlformats.org/package/2006/digital-signature" SourceId="rId4"/>
            <mdssi:RelationshipReference xmlns:mdssi="http://schemas.openxmlformats.org/package/2006/digital-signature" SourceId="rId3"/>
            <mdssi:RelationshipReference xmlns:mdssi="http://schemas.openxmlformats.org/package/2006/digital-signature" SourceId="rId2"/>
          </Transform>
          <Transform Algorithm="http://www.w3.org/TR/2001/REC-xml-c14n-20010315"/>
        </Transforms>
        <DigestMethod Algorithm="http://www.w3.org/2001/04/xmlenc#sha256"/>
        <DigestValue>jI9mbSFb66cDzeRCuBSKCXVOi3RBNUoKkfoAPuvsz6U=</DigestValue>
      </Reference>
      <Reference URI="/xl/worksheets/sheet1.xml?ContentType=application/vnd.openxmlformats-officedocument.spreadsheetml.worksheet+xml">
        <DigestMethod Algorithm="http://www.w3.org/2001/04/xmlenc#sha256"/>
        <DigestValue>AC3wT7ckUX/ZHYp93T3qvVcvmCzFJRTaw/i9JTS6ALM=</DigestValue>
      </Reference>
      <Reference URI="/xl/worksheets/sheet2.xml?ContentType=application/vnd.openxmlformats-officedocument.spreadsheetml.worksheet+xml">
        <DigestMethod Algorithm="http://www.w3.org/2001/04/xmlenc#sha256"/>
        <DigestValue>AUHYZ51i0J8ISBBDypg15oVFMw9pxpJxDaBUxrdBjFY=</DigestValue>
      </Reference>
      <Reference URI="/xl/worksheets/sheet3.xml?ContentType=application/vnd.openxmlformats-officedocument.spreadsheetml.worksheet+xml">
        <DigestMethod Algorithm="http://www.w3.org/2001/04/xmlenc#sha256"/>
        <DigestValue>8G96oIg1qivzicZosKZMvVRO2LO/hMFMQyNm7QxaVno=</DigestValue>
      </Reference>
    </Manifest>
    <SignatureProperties>
      <SignatureProperty Id="idSignatureTime" Target="#idPackageSignature">
        <mdssi:SignatureTime xmlns:mdssi="http://schemas.openxmlformats.org/package/2006/digital-signature">
          <mdssi:Format>YYYY-MM-DDThh:mm:ssTZD</mdssi:Format>
          <mdssi:Value>2019-03-15T06:05:19Z</mdssi:Value>
        </mdssi:SignatureTime>
      </SignatureProperty>
    </SignatureProperties>
  </Object>
  <Object Id="idOfficeObject">
    <SignatureProperties>
      <SignatureProperty Id="idOfficeV1Details" Target="#idPackageSignature">
        <SignatureInfoV1 xmlns="http://schemas.microsoft.com/office/2006/digsig">
          <SetupID/>
          <SignatureText/>
          <SignatureImage/>
          <SignatureComments/>
          <WindowsVersion>10.0</WindowsVersion>
          <OfficeVersion>16.0</OfficeVersion>
          <ApplicationVersion>16.0</ApplicationVersion>
          <Monitors>2</Monitors>
          <HorizontalResolution>1920</HorizontalResolution>
          <VerticalResolution>1080</VerticalResolution>
          <ColorDepth>32</ColorDepth>
          <SignatureProviderId>{00000000-0000-0000-0000-000000000000}</SignatureProviderId>
          <SignatureProviderUrl/>
          <SignatureProviderDetails>9</SignatureProviderDetails>
          <SignatureType>1</SignatureType>
        </SignatureInfoV1>
      </SignatureProperty>
    </SignatureProperties>
  </Object>
  <Object>
    <xd:QualifyingProperties xmlns:xd="http://uri.etsi.org/01903/v1.3.2#" Target="#idPackageSignature">
      <xd:SignedProperties Id="idSignedProperties">
        <xd:SignedSignatureProperties>
          <xd:SigningTime>2019-03-15T06:05:19Z</xd:SigningTime>
          <xd:SigningCertificate>
            <xd:Cert>
              <xd:CertDigest>
                <DigestMethod Algorithm="http://www.w3.org/2001/04/xmlenc#sha256"/>
                <DigestValue>wXfdsnIBT/bWVZyruB2Ei2ef0JmG4pbJchEnKe7SrXg=</DigestValue>
              </xd:CertDigest>
              <xd:IssuerSerial>
                <X509IssuerName>CN=MeSince V1 Identity CA, O=MeSince Technology Limited, C=CN</X509IssuerName>
                <X509SerialNumber>40491988972301846335695956053491823760</X509SerialNumber>
              </xd:IssuerSerial>
            </xd:Cert>
          </xd:SigningCertificate>
          <xd:SignaturePolicyIdentifier>
            <xd:SignaturePolicyImplied/>
          </xd:SignaturePolicyIdentifier>
        </xd:SignedSignatureProperties>
        <xd:SignedDataObjectProperties>
          <xd:CommitmentTypeIndication>
            <xd:CommitmentTypeId>
              <xd:Identifier>http://uri.etsi.org/01903/v1.2.2#ProofOfCreation</xd:Identifier>
              <xd:Description>创建此文档</xd:Description>
            </xd:CommitmentTypeId>
            <xd:AllSignedDataObjects/>
          </xd:CommitmentTypeIndication>
        </xd:SignedDataObjectProperties>
      </xd:SignedProperties>
      <xd:UnsignedProperties>
        <xd:UnsignedSignatureProperties>
          <xd:CertificateValues>
            <xd:EncapsulatedX509Certificate>MIIFjTCCA3WgAwIBAgIQROvOTI2YwmUzKyhRMt136zANBgkqhkiG9w0BAQsFADBQMQswCQYDVQQGEwJDTjEjMCEGA1UECgwaTWVTaW5jZSBUZWNobm9sb2d5IExpbWl0ZWQxHDAaBgNVBAMME01lU2luY2UgSWRlbnRpdHkgQ0EwHhcNMTgwMzE1MDIwMTE4WhcNMzMwMzE1MDIwMTE4WjBTMQswCQYDVQQGEwJDTjEjMCEGA1UECgwaTWVTaW5jZSBUZWNobm9sb2d5IExpbWl0ZWQxHzAdBgNVBAMMFk1lU2luY2UgVjEgSWRlbnRpdHkgQ0EwggEiMA0GCSqGSIb3DQEBAQUAA4IBDwAwggEKAoIBAQCp9MSoeaDhzArr5VyN9vJ3DDo50EV9en7/h9ZJ0woBaSALg52yUv+O9epQGMmfepwVyWd4+ZjQebg2j9L5fDIx/JSNJ8RFIATCAhQpxSKlxQbHqyi2tXsuX2TkQOsVja/aGWAPxZ24P3r7U+Din+F5de4VRotcruAPS6fwa9I/EonW+qq1jdNEAWwFWmDPHTFTyvywj3YylO4XRFVXf6OmD6sUcpGCTPCiQOAmUP3RpEZbyKda+RQvd412odeulDH6jI1Q5pdT+lzibb90BZCKUWGx25X6A286Hd1GC7Mn6TQB/K/pdMFHzwZksD/oG9WQWZaTvREGn+TEJTM/0HPjAgMBAAGjggFeMIIBWjAOBgNVHQ8BAf8EBAMCAQYwHQYDVR0lBBYwFAYIKwYBBQUHAwIGCCsGAQUFBwMEMBIGA1UdEwEB/wQIMAYBAf8CAQAwLgYDVR0fBCcwJTAjoCGgH4YdaHR0cDovL2NybC5tZXNpbmNlLmNvbS9tcy5jcmwwXgYIKwYBBQUHAQEEUjBQMCMGCCsGAQUFBzABhhdodHRwOi8vb2NzcC5tZXNpbmNlLmNvbTApBggrBgEFBQcwAoYdaHR0cDovL2FpYS5tZXNpbmNlLmNvbS9tcy5jZXIwHQYDVR0OBBYEFBV0AJrWsx+nt0jS72FoZbsUgJUlMB8GA1UdIwQYMBaAFMsWzBtX7YieBEVjJETvzq7H1ICSMEUGA1UdIAQ+MDwwOgYKKwYBBAGDjFcDAzAsMCoGCCsGAQUFBwIBFh5odHRwOi8vd3d3Lm1lc2luY2UuY29tL3BvbGljeS8wDQYJKoZIhvcNAQELBQADggIBABxzGSNk4PaUESLwnS1zUo54juZ1eKUrEUpv4pbNdkR8Xmmu8PcH9EjDCY1FQZBx5E3rFElN96qMhIVh6E7KBXwSj36DOohWB24Ve9vU3IV9OVQ+7zlHWstdeSmvjP80J3kRaO6GfHqaTj0zci9jmB0P34GXLjOKLpgiJ5FqcHBEkNWXdLtQFil/qxj2hpYpFDL9X6BFmUMwLk0rXjNVv+r+/f9rBXSGaIISxTMNfAMCC/vEEkXuKZ4+/HW9orRNdt6zVQfitqwoHBL/k5/En3x8W62MfnlQmYh7cR4GYaN+M/jGMm+yrTicEP9zyfQ+ZDzBqebE9Dalb3Z4LQlfeJxFlK/eAQ7ajIG4hOmugtDofmdG/2hQ6c7nb0srsDEyPzq4Y6w72bqOjBDFeL3jRn2ULwa2AEKex6oR9gnvMlN8FOg1JENSEa5/yeYLWCuG2i4Tp4hX+KW4bjeqO4YFfaTz/RCXdNnFgzuMCag+lcnx2U/L1+i6SJP1+QYwD5CbNp824+rkp9Prv5tYrcBFNmlPOxU7JIJnuPdj3EZ5txhmsIjoeIwPJqQpA6pK9OSyjND9uDtYxsIgCs+H9fcpaax/w9gSvXzYRr3NQA79jhJ7zR536oDSI7JiLpjSW57olmdVcOTN/BT9PZUM+MQqAqev2T5tYb6G4RVixpZW2Yv6</xd:EncapsulatedX509Certificate>
            <xd:EncapsulatedX509Certificate>MIIFbDCCA1SgAwIBAgIQP+8jnszAMf3fZk46Fya4xDANBgkqhkiG9w0BAQsFADBQMQswCQYDVQQGEwJDTjEjMCEGA1UECgwaTWVTaW5jZSBUZWNobm9sb2d5IExpbWl0ZWQxHDAaBgNVBAMME01lU2luY2UgSWRlbnRpdHkgQ0EwHhcNMTgwMTIyMDcwMTAxWhcNNDMwMTIyMDcwMTAxWjBQMQswCQYDVQQGEwJDTjEjMCEGA1UECgwaTWVTaW5jZSBUZWNobm9sb2d5IExpbWl0ZWQxHDAaBgNVBAMME01lU2luY2UgSWRlbnRpdHkgQ0EwggIiMA0GCSqGSIb3DQEBAQUAA4ICDwAwggIKAoICAQDLFDyWtldMGEcx6up7MPrBD+VEYUHojqcfDufZj2wtmdWx5cvHy/nn+cE9pKGZI5Qkm4zJCVqgE2i01K6cxT9tg6Fs5EyG1NUbf6t+DZ9U5WDFRNUbR36TzTndxvOkxvZm9Z9tRnus60NZB/1H8rSEkUSGx/lhSoe7bZVlmjN+aC/YrsYzNTzn4i8iCdoo6SUZ2e4AtMdkvz5Qk+8lYf/ho04jNyEZwqGYDJOB7scVN5N45S2qfspCN+feIqBcI0drNCyME/iCAQnHYe5hdl6N2TaIs1f+DmKCp53oWli5en6Ktkspuno4KivJx7/iOZ0IE69sPO5wl3Ixe2irlGksm97a9yeu8q5nRnO3/rmqjvDOEV98D09ehDOJCZo0IQaBLh8POFLb0PgT+5J2gcVV3yvc5FbkhpFwoUkyym2DFX/DsRmWVSbMYAH98CW8Q8wsCklyuK1msaYdwuTyD+rKzcxiHbKIesVr8lwDvCi7TY0CfX7kAzvOAMTtsAc5G+H+HLUCTjaMRpU1jFf3zI7jtV1CjBRW0U8/P0jWh1evA8ftZZCH19dSTjKd0NGQOk3RUw88Da5Wl1PX+CVwUSniiMC9fImNaDciTthQk3Unrth1gVM/zZPchSUoNKIjdSMArVC6LcxsyFF6qVhbiyV9oAw8vYHccEXFQNm2G4tzDQIDAQABo0IwQDAOBgNVHQ8BAf8EBAMCAQYwDwYDVR0TAQH/BAUwAwEB/zAdBgNVHQ4EFgQUyxbMG1ftiJ4ERWMkRO/OrsfUgJIwDQYJKoZIhvcNAQELBQADggIBAFtKFRe+HONk6j7Snnh3YnY2/1+NGkKxuaMuLOz8h9ziY5gE6PBiq4F6AWwPdw/XHunKLN5NIhADepKRMb6uzyoFKvW2GNKxeFX013Rsku1NP8GiN/UXycodnquN1JZR7uoLi/+ZC21H0mS2XQwL555oKAUVeFG0RPKXSJ6Or6vQ9ZK/VkKakMrCOf+CX+rnnKX9om9sa8PhaYHlkFoNEx5CFAv99FpqiPq/weevHhcn642NqB+5oOghyHv1PdhvCX3qLizzr49BfIe8Ix8HXYTiP1edXcCVj0lwKPoKVyMlqqsk/dInV+3c7URL8PMwyZsegJ2iyehrb009ndXt2Y5evXzdA7ouKB39tOvBYWhKHlktaPz1lINFUU980gL4D1qLzK4f26XwZkY/970ZsgH6OI7mTwNKrSVWXqXk/Nlh/zmINYW1Dlyd0nZAwzAzWTCRuC+7S7c0bfqvOzeWg9IQc2NJCzYCgollp8ZNKuUBrHGdfbFYse+JVclRpqEm5P6QtJbMRfgfERHQFZroY4+0fM+qQjLluBZ25CXz/cNJ41ByVM0cnKFkBq/zd8pyhrxTf35xEFZ3TkL7I5OUunf86O2vlT+KQIDVAoq3XJibN5w0Cuvo8E8f+FhVsafLDCkMWZdoHuwd3M9Ok93suS6WK0zFSJeKT8U10uVcU0CW</xd:EncapsulatedX509Certificate>
          </xd:CertificateValues>
        </xd:UnsignedSignatureProperties>
      </xd:UnsignedProperties>
    </xd:QualifyingProperties>
  </Object>
</Signature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任务跟踪</vt:lpstr>
      <vt:lpstr>甘特图</vt:lpstr>
      <vt:lpstr>设置</vt:lpstr>
    </vt:vector>
  </TitlesOfParts>
  <LinksUpToDate>false</LinksUpToDate>
  <SharedDoc>false</SharedDoc>
  <HyperlinkBase>https://github.com/xiaoyuvax/ExcelPM/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XiaoyuVAX</dc:creator>
  <cp:lastModifiedBy>Windows 用户</cp:lastModifiedBy>
  <dcterms:created xsi:type="dcterms:W3CDTF">2019-03-15T06:04:01Z</dcterms:created>
  <dcterms:modified xsi:type="dcterms:W3CDTF">2019-03-15T06:05:10Z</dcterms:modified>
</cp:coreProperties>
</file>